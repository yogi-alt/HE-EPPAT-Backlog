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Perkiraan Nilai HE" state="visible" r:id="rId10"/>
    <sheet sheetId="8" name="Riwayat Perubahan" state="visible" r:id="rId11"/>
    <sheet sheetId="9" name="Keterangan" state="visible" r:id="rId12"/>
  </sheets>
  <calcPr calcId="171027" fullCalcOnLoad="1"/>
</workbook>
</file>

<file path=xl/comments2.xml><?xml version="1.0" encoding="utf-8"?>
<comments xmlns="http://schemas.openxmlformats.org/spreadsheetml/2006/main">
  <authors>
    <author>Author</author>
  </authors>
  <commentList>
    <comment ref="N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<sst xmlns="http://schemas.openxmlformats.org/spreadsheetml/2006/main" count="3600" uniqueCount="2171">
  <si>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</si>
  <si>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</si>
  <si>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</si>
  <si>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</si>
  <si>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</si>
  <si>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</si>
  <si>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</si>
  <si>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</si>
  <si>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</si>
  <si>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</si>
  <si>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</si>
  <si>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</si>
  <si>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</si>
  <si>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</si>
  <si>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</si>
  <si>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</si>
  <si>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</si>
  <si>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</si>
  <si>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</si>
  <si>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</si>
  <si>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</si>
  <si>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</si>
  <si>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</si>
  <si>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</si>
  <si>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</si>
  <si>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</si>
  <si>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</si>
  <si>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</si>
  <si>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</si>
  <si>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</si>
  <si>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</si>
  <si>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</si>
  <si>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</si>
  <si>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</si>
  <si>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</si>
  <si>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</si>
  <si>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</si>
  <si>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</si>
  <si>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</si>
  <si>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</si>
  <si>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</si>
  <si>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</si>
  <si>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</si>
  <si>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</si>
  <si>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</si>
  <si>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</si>
  <si>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</si>
  <si>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</si>
  <si>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</si>
  <si>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</si>
  <si>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</si>
  <si>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</si>
  <si>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</si>
  <si>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</si>
  <si>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</si>
  <si>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</si>
  <si>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</si>
  <si>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</si>
  <si>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</si>
  <si>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</si>
  <si>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</si>
  <si>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</si>
  <si>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</si>
  <si>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</si>
  <si>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</si>
  <si>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</si>
  <si>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</si>
  <si>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</si>
  <si>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</si>
  <si>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</si>
  <si>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</si>
  <si>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</si>
  <si>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</si>
  <si>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</si>
  <si>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</si>
  <si>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</si>
  <si>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</si>
  <si>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</si>
  <si>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</si>
  <si>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</si>
  <si>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</si>
  <si>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</si>
  <si>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</si>
  <si>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</si>
  <si>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</si>
  <si>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</si>
  <si>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</si>
  <si>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</si>
  <si>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</si>
  <si>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</si>
  <si>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</si>
  <si>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</si>
  <si>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</si>
  <si>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</si>
  <si>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</si>
  <si>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</si>
  <si>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</si>
  <si>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</si>
  <si>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</si>
  <si>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</si>
  <si>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</si>
  <si>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</si>
  <si>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</si>
  <si>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</si>
  <si>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</si>
  <si>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</si>
  <si>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</si>
  <si>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</si>
  <si>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</si>
  <si>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</si>
  <si>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</si>
  <si>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</si>
  <si>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</si>
  <si>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</si>
  <si>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</si>
  <si>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</si>
  <si>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</si>
  <si>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</si>
  <si>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</si>
  <si>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</si>
  <si>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</si>
  <si>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</si>
  <si>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</si>
  <si>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</si>
  <si>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</si>
  <si>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</si>
  <si>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</si>
  <si>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</si>
  <si>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</si>
  <si>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</si>
  <si>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</si>
  <si>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</si>
  <si>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</si>
  <si>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</si>
  <si>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</si>
  <si>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</si>
  <si>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</si>
  <si>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</si>
  <si>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</si>
  <si>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</si>
  <si>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</si>
  <si>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</si>
  <si>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</si>
  <si>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</si>
  <si>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</si>
  <si>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</si>
  <si>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</si>
  <si>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</si>
  <si>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</si>
  <si>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</si>
  <si>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</si>
  <si>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</si>
  <si>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</si>
  <si>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</si>
  <si>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</si>
  <si>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</si>
  <si>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</si>
  <si>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</si>
  <si>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</si>
  <si>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</si>
  <si>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</si>
  <si>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</si>
  <si>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</si>
  <si>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</si>
  <si>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</si>
  <si>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</si>
  <si>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</si>
  <si>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</si>
  <si>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</si>
  <si>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</si>
  <si>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</si>
  <si>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</si>
  <si>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</si>
  <si>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</si>
  <si>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</si>
  <si>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</si>
  <si>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</si>
  <si>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</si>
  <si>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</si>
  <si>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</si>
  <si>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</si>
  <si>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</si>
  <si>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</si>
  <si>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</si>
  <si>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</si>
  <si>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</si>
  <si>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</si>
  <si>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</si>
  <si>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</si>
  <si>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</si>
  <si>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</si>
  <si>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</si>
  <si>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</si>
  <si>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</si>
  <si>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</si>
  <si>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</si>
  <si>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</si>
  <si>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</si>
  <si>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</si>
  <si>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</si>
  <si>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</si>
  <si>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</si>
  <si>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</si>
  <si>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</si>
  <si>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</si>
  <si>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</si>
  <si>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</si>
  <si>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</si>
  <si>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</si>
  <si>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</si>
  <si>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</si>
  <si>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</si>
  <si>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</si>
  <si>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</si>
  <si>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</si>
  <si>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</si>
  <si>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</si>
  <si>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</si>
  <si>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</si>
  <si>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</si>
  <si>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</si>
  <si>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</si>
  <si>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</si>
  <si>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</si>
  <si>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</si>
  <si>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</si>
  <si>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</si>
  <si>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</si>
  <si>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</si>
  <si>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</si>
  <si>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</si>
  <si>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</si>
  <si>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</si>
  <si>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</si>
  <si>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</si>
  <si>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</si>
  <si>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</si>
  <si>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</si>
  <si>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</si>
  <si>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</si>
  <si>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</si>
  <si>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</si>
  <si>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</si>
  <si>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</si>
  <si>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</si>
  <si>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</si>
  <si>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</si>
  <si>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</si>
  <si>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</si>
  <si>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</si>
  <si>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</si>
  <si>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</si>
  <si>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</si>
  <si>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</si>
  <si>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</si>
  <si>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</si>
  <si>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</si>
  <si>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</si>
  <si>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</si>
  <si>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</si>
  <si>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</si>
  <si>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</si>
  <si>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</si>
  <si>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</si>
  <si>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</si>
  <si>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</si>
  <si>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</si>
  <si>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</si>
  <si>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</si>
  <si>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</si>
  <si>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</si>
  <si>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</si>
  <si>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</si>
  <si>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</si>
  <si>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</si>
  <si>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</si>
  <si>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</si>
  <si>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</si>
  <si>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</si>
  <si>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</si>
  <si>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</si>
  <si>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</si>
  <si>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</si>
  <si>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</si>
  <si>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</si>
  <si>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</si>
  <si>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</si>
  <si>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</si>
  <si>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</si>
  <si>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</si>
  <si>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</si>
  <si>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</si>
  <si>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</si>
  <si>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</si>
  <si>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</si>
  <si>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</si>
  <si>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</si>
  <si>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</si>
  <si>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</si>
  <si>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</si>
  <si>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</si>
  <si>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</si>
  <si>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</si>
  <si>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</si>
  <si>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</si>
  <si>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</si>
  <si>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5.4</t>
  </si>
  <si>
    <t>Fokus terlihat</t>
  </si>
  <si>
    <t>Jangan menghapus garis fokus (`outline: none`) tanpa pengganti. Pakai cincin fokus bawaan IDDS yang memakai warna brand. Elemen klik buatan (baris tabel, zona unggah) wajib dapat difokus.</t>
  </si>
  <si>
    <t>/* Salah */ button:focus { outline: none; }</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</si>
  <si>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</si>
  <si>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</si>
  <si>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</si>
  <si>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</si>
  <si>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</si>
  <si>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</si>
  <si>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</si>
  <si>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</si>
  <si>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</si>
  <si>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</si>
  <si>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</si>
  <si>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</si>
  <si>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HE-ORDER-04</t>
  </si>
  <si>
    <t>5.8</t>
  </si>
  <si>
    <t>Bahasa dokumen dan gambar</t>
  </si>
  <si>
    <t>Pasang `lang="id"` pada `&lt;html&gt;`. Logo dan gambar bermakna punya `alt`; ikon hiasan diberi `aria-hidden="true"`.</t>
  </si>
  <si>
    <t>&lt;img src="logo.png" alt="E-PPAT"&gt;  &lt;svg aria-hidden="true"&gt;…&lt;/svg&gt;</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</si>
  <si>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</si>
  <si>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</si>
  <si>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</si>
  <si>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</si>
  <si>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</si>
  <si>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</si>
  <si>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</si>
  <si>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</si>
  <si>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</si>
  <si>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</si>
  <si>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</si>
  <si>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</si>
  <si>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</si>
  <si>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</si>
  <si>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</si>
  <si>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</si>
  <si>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</si>
  <si>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</si>
  <si>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</si>
  <si>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</si>
  <si>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</si>
  <si>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</si>
  <si>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</si>
  <si>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</si>
  <si>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</si>
  <si>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</si>
  <si>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</si>
  <si>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</si>
  <si>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</si>
  <si>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</si>
  <si>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</si>
  <si>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</si>
  <si>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</si>
  <si>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</si>
  <si>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</si>
  <si>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</si>
  <si>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</si>
  <si>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</si>
  <si>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</si>
  <si>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</si>
  <si>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</si>
  <si>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</si>
  <si>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</si>
  <si>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</si>
  <si>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</si>
  <si>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</si>
  <si>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</si>
  <si>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</si>
  <si>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</si>
  <si>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</si>
  <si>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</si>
  <si>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</si>
  <si>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</si>
  <si>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</si>
  <si>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</si>
  <si>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</si>
  <si>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</si>
  <si>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</si>
  <si>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</si>
  <si>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</si>
  <si>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</si>
  <si>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</si>
  <si>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</si>
  <si>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</si>
  <si>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</si>
  <si>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</si>
  <si>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</si>
  <si>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</si>
  <si>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</si>
  <si>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</si>
  <si>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</si>
  <si>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</si>
  <si>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</si>
  <si>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</si>
  <si>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</si>
  <si>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</si>
  <si>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</si>
  <si>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</si>
  <si>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</si>
  <si>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</si>
  <si>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</si>
  <si>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</si>
  <si>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</si>
  <si>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</si>
  <si>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</si>
  <si>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</si>
  <si>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</si>
  <si>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</si>
  <si>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</si>
  <si>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</si>
  <si>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</si>
  <si>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</si>
  <si>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HE-USER-01 s.d. 04 / HE-UMUM-03</t>
  </si>
  <si>
    <t>8.4</t>
  </si>
  <si>
    <t>Verifikasi</t>
  </si>
  <si>
    <t>Salin saringan dan jumlah hasil ber-aria-live, lama menunggu dan dampaknya, konfirmasi sebelum verifikasi disimpan, serta navigasi detail yang konsisten.</t>
  </si>
  <si>
    <t>Pola: cari-saring-urut, konfirmasi simpan</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</si>
  <si>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</si>
  <si>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</si>
  <si>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</si>
  <si>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</si>
  <si>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</si>
  <si>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HE-EAW-01 s.d. 07</t>
  </si>
  <si>
    <t>8.6</t>
  </si>
  <si>
    <t>Penandatanganan Akta Klien</t>
  </si>
  <si>
    <t>Salin langkah berikutnya yang menonjol, konfirmasi tanda tangan, OTP, kontak kantor, dan panduan pengguna baru.</t>
  </si>
  <si>
    <t>Pola: alur klien, OTP</t>
  </si>
  <si>
    <t>HE-EAWK-01 s.d. 07</t>
  </si>
  <si>
    <t>8.7</t>
  </si>
  <si>
    <t>Registrasi TERA</t>
  </si>
  <si>
    <t>Salin Tab tanpa kehilangan isian, validasi saat focusout, konfirmasi sebelum simpan, tahapan dengan perkiraan waktu, dan dialog "Tinggalkan halaman ini?".</t>
  </si>
  <si>
    <t>Pola: formulir bertab, penjaga perubahan</t>
  </si>
  <si>
    <t>HE-TERA-01 s.d. 07</t>
  </si>
  <si>
    <t>8.8</t>
  </si>
  <si>
    <t>Registrasi CA / Akun Saya</t>
  </si>
  <si>
    <t>Salin tahapan registrasi, Data Diri berkelompok, pesan galat di dekat isian, istilah CA/eKYC/swafoto yang dijelaskan, dan tab Akun dan Keamanan.</t>
  </si>
  <si>
    <t>Pola: formulir panjang berkelompok</t>
  </si>
  <si>
    <t>HE-CA-01 s.d. 08</t>
  </si>
  <si>
    <t>8.9</t>
  </si>
  <si>
    <t>Minuta</t>
  </si>
  <si>
    <t>Salin Tooltip istilah dan tombol, bilah alat editor, umpan balik setelah hapus, dan pesan ketika fitur belum dapat dipakai.</t>
  </si>
  <si>
    <t>Pola: editor, tooltip</t>
  </si>
  <si>
    <t>HE-MINUTA-01 s.d. 06</t>
  </si>
  <si>
    <t>8.10</t>
  </si>
  <si>
    <t>Onboarding, Daftar, dan Masuk platform</t>
  </si>
  <si>
    <t>Salin Stepper pendaftaran, syarat kata sandi berbentuk daftar centang, masa berlaku kode verifikasi, pesan galat masuk, dan hasil cek status.</t>
  </si>
  <si>
    <t>Pola: registrasi kantor, 2FA</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</si>
  <si>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</si>
  <si>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</si>
  <si>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</si>
  <si>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</si>
  <si>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</si>
  <si>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</si>
  <si>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</si>
  <si>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</si>
  <si>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</si>
  <si>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</si>
  <si>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</si>
  <si>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</si>
  <si>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</si>
  <si>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</si>
  <si>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</si>
  <si>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</si>
  <si>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</si>
  <si>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</si>
  <si>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</si>
  <si>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</si>
  <si>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</si>
  <si>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</si>
  <si>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</si>
  <si>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</si>
  <si>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</si>
  <si>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</si>
  <si>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</si>
  <si>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</si>
  <si>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</si>
  <si>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</si>
  <si>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</si>
  <si>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</si>
  <si>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</si>
  <si>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</si>
  <si>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</si>
  <si>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</si>
  <si>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</si>
  <si>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</si>
  <si>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</si>
  <si>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</si>
  <si>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</si>
  <si>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</si>
  <si>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</si>
  <si>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</si>
  <si>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</si>
  <si>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</si>
  <si>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</si>
  <si>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</si>
  <si>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</si>
  <si>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</si>
  <si>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</si>
  <si>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</si>
  <si>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</si>
  <si>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</si>
  <si>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</si>
  <si>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</si>
  <si>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</si>
  <si>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</si>
  <si>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</si>
  <si>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</si>
  <si>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</si>
  <si>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</si>
  <si>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</si>
  <si>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Kode</t>
  </si>
  <si>
    <t>Lingkungan</t>
  </si>
  <si>
    <t>Fitur / Layar</t>
  </si>
  <si>
    <t>Judul usulan</t>
  </si>
  <si>
    <t>Kondisi saat ini (live)</t>
  </si>
  <si>
    <t>Usulan perubahan</t>
  </si>
  <si>
    <t>Prinsip HE</t>
  </si>
  <si>
    <t>Hal. laporan</t>
  </si>
  <si>
    <t>Prioritas</t>
  </si>
  <si>
    <t>Layar terdampak</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</si>
  <si>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</si>
  <si>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</si>
  <si>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</si>
  <si>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</si>
  <si>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</si>
  <si>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</si>
  <si>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</si>
  <si>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</si>
  <si>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</si>
  <si>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</si>
  <si>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</si>
  <si>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</si>
  <si>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</si>
  <si>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</si>
  <si>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</si>
  <si>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</si>
  <si>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</si>
  <si>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</si>
  <si>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</si>
  <si>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</si>
  <si>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</si>
  <si>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</si>
  <si>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</si>
  <si>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</si>
  <si>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</si>
  <si>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</si>
  <si>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</si>
  <si>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</si>
  <si>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</si>
  <si>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</si>
  <si>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</si>
  <si>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</si>
  <si>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</si>
  <si>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</si>
  <si>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</si>
  <si>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</si>
  <si>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</si>
  <si>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</si>
  <si>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</si>
  <si>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</si>
  <si>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</si>
  <si>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</si>
  <si>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</si>
  <si>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</si>
  <si>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</si>
  <si>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</si>
  <si>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</si>
  <si>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</si>
  <si>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</si>
  <si>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</si>
  <si>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</si>
  <si>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</si>
  <si>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</si>
  <si>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</si>
  <si>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</si>
  <si>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</si>
  <si>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</si>
  <si>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</si>
  <si>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</si>
  <si>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</si>
  <si>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</si>
  <si>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</si>
  <si>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</si>
  <si>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</si>
  <si>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</si>
  <si>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</si>
  <si>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</si>
  <si>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</si>
  <si>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</si>
  <si>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</si>
  <si>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</si>
  <si>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</si>
  <si>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</si>
  <si>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</si>
  <si>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</si>
  <si>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</si>
  <si>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</si>
  <si>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</si>
  <si>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</si>
  <si>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</si>
  <si>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</si>
  <si>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</si>
  <si>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</si>
  <si>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</si>
  <si>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</si>
  <si>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</si>
  <si>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</si>
  <si>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</si>
  <si>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</si>
  <si>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</si>
  <si>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</si>
  <si>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</si>
  <si>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</si>
  <si>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</si>
  <si>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</si>
  <si>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</si>
  <si>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</si>
  <si>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</si>
  <si>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</si>
  <si>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</si>
  <si>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</si>
  <si>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</si>
  <si>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</si>
  <si>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</si>
  <si>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</si>
  <si>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</si>
  <si>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</si>
  <si>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</si>
  <si>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</si>
  <si>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</si>
  <si>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</si>
  <si>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</si>
  <si>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</si>
  <si>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</si>
  <si>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</si>
  <si>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</si>
  <si>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</si>
  <si>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</si>
  <si>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</si>
  <si>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</si>
  <si>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</si>
  <si>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</si>
  <si>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</si>
  <si>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</si>
  <si>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</si>
  <si>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</si>
  <si>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</si>
  <si>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</si>
  <si>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</si>
  <si>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</si>
  <si>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</si>
  <si>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</si>
  <si>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</si>
  <si>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</si>
  <si>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</si>
  <si>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</si>
  <si>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</si>
  <si>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</si>
  <si>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</si>
  <si>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</si>
  <si>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</si>
  <si>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</si>
  <si>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</si>
  <si>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</si>
  <si>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</si>
  <si>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</si>
  <si>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</si>
  <si>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</si>
  <si>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</si>
  <si>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</si>
  <si>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</si>
  <si>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</si>
  <si>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</si>
  <si>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</si>
  <si>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</si>
  <si>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</si>
  <si>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</si>
  <si>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</si>
  <si>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</si>
  <si>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</si>
  <si>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</si>
  <si>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</si>
  <si>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</si>
  <si>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</si>
  <si>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</si>
  <si>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</si>
  <si>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</si>
  <si>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</si>
  <si>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</si>
  <si>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</si>
  <si>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</si>
  <si>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</si>
  <si>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</si>
  <si>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</si>
  <si>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</si>
  <si>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</si>
  <si>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</si>
  <si>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</si>
  <si>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</si>
  <si>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</si>
  <si>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</si>
  <si>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</si>
  <si>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</si>
  <si>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</si>
  <si>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</si>
  <si>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HE-MINUTA-07</t>
  </si>
  <si>
    <t>Penyusunan Akta: tata letak editor ala pengolah kata</t>
  </si>
  <si>
    <t>Laporan HE menilai tampilan editor terlalu padat dan sulit dipindai, serta kurva pembelajarannya tinggi. Di live, kepala halaman berisi empat tombol, daftar pasal berupa kartu bertumpuk di kiri, editor berada di dalam tab dengan bilah alat dua baris berisi lebih dari 30 ikon tanpa nama, dan naskah tampil di kotak sempit tanpa batas halaman sehingga tidak terlihat utuh seperti akta. Footer hanya muncul di PDF; live menulis "Hanya muncul di PDF (minuta/salinan), bukan di preview", sehingga footer tidak terlihat saat menyusun.</t>
  </si>
  <si>
    <t>Editor berada di dalam kerangka aplikasi seperti halaman lain, dengan menu samping, header, remah, dan judul halaman. Kepala naskah ringkas dalam satu baris: tombol kembali, ikon naskah, judul "Naskah Akta · kode", lencana jenis dan status, keterangan "Tersimpan" atau "Belum disimpan", serta penanda variabel yang belum terisi. Bilah menu (File, Edit, Tampilan, Sisipkan, Format, Alat, Bantuan) berada di bawah judul. Di kanan ada Pratinjau Akta dan satu tombol utama sesuai peran: Beritahu PPAT untuk Asisten dan Finalisasi Akta untuk PPAT; akta final hanya menampilkan Pratinjau Akta. Editor terdiri atas panel Navigasi di kiri, kertas di tengah, dan panel Bagian di kanan. Kedua panel dapat ditutup agar kertas lebih lega, dan area kerja mengisi tinggi layar di bawah kepala naskah. Panel Navigasi memakai ikon jenis bagian yang seragam (lingkaran bernomor untuk pasal, ¶ untuk catatan) dengan ikon ? yang menjelaskannya, dan bagian Lampiran dapat dilipat (tetap "Segera hadir"). Di margin kiri kertas, setiap bagian diberi lencana jenis dan nama bagian. Naskah dipecah per halaman sesuai ukuran kertas dan margin dari Pengaturan Dokumen. Bila footer diaktifkan, setiap halaman menampilkan footer dengan kode yang sudah diganti nilai contoh (nomor halaman, jumlah halaman, tanggal, nama PPAT, wilayah, nomor akta, jenis akta). Bila footer tidak aktif, penanda kecil "Halaman X dari Y" tampil di luar kertas dan tidak ikut tercetak. Perubahan Pengaturan Dokumen langsung memotong ulang halaman, dan klik kaki halaman membuka isian footer. Fitur tidak berubah dari live. Catatan untuk tim aplikasi: pemotongan halaman di prototipe hanya perkiraan dari tinggi blok; di aplikasi, pemotongan harus memakai aturan yang sama dengan pembuat PDF agar editor, pratinjau, dan PDF sama persis.</t>
  </si>
  <si>
    <t>H8 Aesthetic and Minimalist Design; H6 Recognition Rather Than Recall; H4 Consistency and Standards</t>
  </si>
  <si>
    <t>UX Metric Lab, Highlight #4 (skor 47,1)</t>
  </si>
  <si>
    <t>Akta › Penyusunan Akta › editor naskah</t>
  </si>
  <si>
    <t>Editor naskah tampil dalam tiga area (Navigasi, kertas seperti hasil cetak, panel Bagian) dengan satu bilah menu dan satu bilah alat. Kedua panel dapat ditutup, dan semua fitur tetap sama dengan live.</t>
  </si>
  <si>
    <t>Usulan tampilan saja; fitur sama dengan live. Prototipe Penyusunan Akta lama tetap tersedia sebagai pembanding.</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</si>
  <si>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</si>
  <si>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</si>
  <si>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</si>
  <si>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</si>
  <si>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</si>
  <si>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</si>
  <si>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</si>
  <si>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</si>
  <si>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</si>
  <si>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</si>
  <si>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</si>
  <si>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</si>
  <si>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Kolom "Status E-Akta" diganti menjadi "Status Penandatanganan" karena menu kini bernama Penandatanganan Akta. Istilah dan label lain yang belum dijelaskan (Status Penandatanganan, akta final, Minuta dan Salinan, status langkah, Stempel TERA, penanda tangan, nomor seri dan akun e-Meterai, kode OTP, status salinan, menu Salinan Akta, lampiran) diberi ikon "?" bertooltip; informasi penting seperti masa berlaku OTP dan syarat tetap tertulis di layar.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</si>
  <si>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</si>
  <si>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</si>
  <si>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</si>
  <si>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</si>
  <si>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</si>
  <si>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</si>
  <si>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</si>
  <si>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</si>
  <si>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</si>
  <si>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</si>
  <si>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</si>
  <si>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</si>
  <si>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</si>
  <si>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</si>
  <si>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</si>
  <si>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</si>
  <si>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</si>
  <si>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</si>
  <si>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</si>
  <si>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</si>
  <si>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</si>
  <si>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</si>
  <si>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</si>
  <si>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</si>
  <si>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</si>
  <si>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</si>
  <si>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</si>
  <si>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</si>
  <si>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</si>
  <si>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</si>
  <si>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</si>
  <si>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</si>
  <si>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</si>
  <si>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</si>
  <si>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</si>
  <si>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</si>
  <si>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</si>
  <si>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</si>
  <si>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</si>
  <si>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</si>
  <si>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</si>
  <si>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</si>
  <si>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</si>
  <si>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</si>
  <si>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</si>
  <si>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</si>
  <si>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</si>
  <si>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</si>
  <si>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</si>
  <si>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</si>
  <si>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</si>
  <si>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</si>
  <si>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</si>
  <si>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</si>
  <si>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</si>
  <si>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</si>
  <si>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</si>
  <si>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</si>
  <si>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</si>
  <si>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</si>
  <si>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</si>
  <si>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</si>
  <si>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</si>
  <si>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</si>
  <si>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</si>
  <si>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</si>
  <si>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</si>
  <si>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</si>
  <si>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</si>
  <si>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</si>
  <si>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</si>
  <si>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</si>
  <si>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</si>
  <si>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</si>
  <si>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</si>
  <si>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</si>
  <si>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</si>
  <si>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</si>
  <si>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</si>
  <si>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</si>
  <si>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</si>
  <si>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</si>
  <si>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</si>
  <si>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</si>
  <si>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</si>
  <si>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</si>
  <si>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</si>
  <si>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</si>
  <si>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</si>
  <si>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</si>
  <si>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</si>
  <si>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</si>
  <si>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</si>
  <si>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</si>
  <si>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</si>
  <si>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</si>
  <si>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</si>
  <si>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</si>
  <si>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</si>
  <si>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</si>
  <si>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</si>
  <si>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</si>
  <si>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</si>
  <si>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</si>
  <si>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</si>
  <si>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</si>
  <si>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</si>
  <si>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</si>
  <si>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</si>
  <si>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</si>
  <si>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</si>
  <si>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</si>
  <si>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</si>
  <si>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</si>
  <si>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</si>
  <si>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</si>
  <si>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</si>
  <si>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</si>
  <si>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</si>
  <si>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</si>
  <si>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</si>
  <si>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</si>
  <si>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</si>
  <si>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</si>
  <si>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</si>
  <si>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</si>
  <si>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</si>
  <si>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</si>
  <si>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</si>
  <si>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</si>
  <si>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</si>
  <si>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</si>
  <si>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</si>
  <si>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</si>
  <si>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</si>
  <si>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</si>
  <si>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</si>
  <si>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</si>
  <si>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</si>
  <si>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</si>
  <si>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</si>
  <si>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</si>
  <si>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</si>
  <si>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</si>
  <si>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</si>
  <si>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</si>
  <si>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</si>
  <si>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</si>
  <si>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</si>
  <si>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</si>
  <si>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</si>
  <si>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</si>
  <si>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</si>
  <si>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</si>
  <si>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</si>
  <si>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</si>
  <si>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</si>
  <si>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</si>
  <si>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</si>
  <si>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</si>
  <si>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</si>
  <si>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</si>
  <si>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</si>
  <si>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</si>
  <si>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</si>
  <si>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</si>
  <si>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</si>
  <si>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</si>
  <si>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</si>
  <si>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</si>
  <si>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</si>
  <si>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</si>
  <si>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</si>
  <si>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</si>
  <si>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</si>
  <si>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</si>
  <si>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</si>
  <si>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</si>
  <si>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</si>
  <si>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</si>
  <si>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</si>
  <si>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</si>
  <si>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</si>
  <si>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</si>
  <si>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</si>
  <si>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</si>
  <si>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</si>
  <si>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</si>
  <si>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</si>
  <si>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</si>
  <si>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</si>
  <si>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</si>
  <si>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</si>
  <si>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</si>
  <si>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</si>
  <si>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</si>
  <si>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</si>
  <si>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</si>
  <si>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</si>
  <si>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</si>
  <si>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</si>
  <si>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</si>
  <si>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</si>
  <si>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</si>
  <si>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</si>
  <si>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</si>
  <si>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</si>
  <si>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</si>
  <si>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</si>
  <si>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</si>
  <si>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</si>
  <si>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</si>
  <si>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</si>
  <si>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</si>
  <si>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</si>
  <si>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</si>
  <si>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</si>
  <si>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</si>
  <si>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</si>
  <si>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</si>
  <si>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</si>
  <si>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</si>
  <si>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</si>
  <si>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</si>
  <si>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</si>
  <si>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</si>
  <si>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</si>
  <si>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</si>
  <si>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</si>
  <si>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</si>
  <si>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</si>
  <si>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</si>
  <si>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</si>
  <si>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</si>
  <si>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</si>
  <si>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</si>
  <si>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</si>
  <si>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</si>
  <si>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</si>
  <si>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</si>
  <si>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</si>
  <si>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</si>
  <si>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</si>
  <si>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</si>
  <si>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</si>
  <si>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</si>
  <si>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</si>
  <si>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</si>
  <si>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</si>
  <si>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</si>
  <si>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</si>
  <si>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</si>
  <si>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</si>
  <si>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</si>
  <si>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</si>
  <si>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</si>
  <si>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</si>
  <si>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</si>
  <si>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</si>
  <si>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</si>
  <si>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</si>
  <si>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</si>
  <si>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</si>
  <si>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</si>
  <si>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</si>
  <si>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</si>
  <si>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</si>
  <si>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</si>
  <si>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</si>
  <si>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</si>
  <si>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</si>
  <si>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</si>
  <si>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</si>
  <si>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</si>
  <si>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</si>
  <si>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</si>
  <si>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</si>
  <si>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</si>
  <si>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</si>
  <si>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</si>
  <si>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</si>
  <si>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</si>
  <si>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</si>
  <si>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</si>
  <si>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</si>
  <si>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</si>
  <si>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</si>
  <si>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</si>
  <si>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</si>
  <si>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</si>
  <si>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</si>
  <si>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</si>
  <si>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</si>
  <si>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</si>
  <si>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</si>
  <si>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</si>
  <si>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</si>
  <si>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</si>
  <si>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</si>
  <si>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</si>
  <si>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</si>
  <si>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</si>
  <si>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</si>
  <si>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</si>
  <si>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</si>
  <si>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</si>
  <si>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</si>
  <si>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</si>
  <si>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</si>
  <si>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</si>
  <si>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</si>
  <si>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</si>
  <si>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</si>
  <si>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</si>
  <si>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</si>
  <si>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</si>
  <si>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</si>
  <si>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</si>
  <si>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</si>
  <si>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</si>
  <si>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</si>
  <si>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</si>
  <si>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</si>
  <si>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</si>
  <si>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</si>
  <si>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</si>
  <si>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</si>
  <si>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</si>
  <si>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</si>
  <si>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</si>
  <si>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</si>
  <si>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</si>
  <si>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</si>
  <si>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Nomor seri e-Meterai tidak dapat dibuat sebelum aktivasi, setiap pemakaian kuota meminta konfirmasi, dan kuota habis dijelaskan di layar.</t>
  </si>
  <si>
    <t>Email aktivasi dibaca dari GET /admin/eppat/emeterai-activation. Sisa kuota belum tersedia di API.</t>
  </si>
  <si>
    <t>HE-EAW-10</t>
  </si>
  <si>
    <t>Tab Salinan: daftar salinan elektronik dan bedanya dengan menu Salinan Akta</t>
  </si>
  <si>
    <t>Tab "Salinan" membuka daftar salinan terlebih dahulu; pengguna harus mengklik "Kelola" pada salah satu salinan untuk mulai membubuhkan stempel TERA. Tab ini berisi kartu unggah "Label (opsional)" dan tombol "Unggah Salinan (PDF)" dengan galat "File harus PDF." dan "Ukuran file ({x.x} MB) melebihi batas. Maksimal 20 MB." Kartu salinan memakai lencana "Selesai", "Proses", "Draft" dan "TERA ✓ / E-Sign / E-Materai". Pesan Order menyuruh membuka menu Akta Salinan, sedangkan Minuta menyebut "Akta masuk ke menu Salinan"; tidak ada penjelasan beda antara tab Salinan (lampiran) dan menu Akta Salinan (tautan 7 hari), padahal keduanya memakai istilah "Kirim Salinan".</t>
  </si>
  <si>
    <t>Buat tab Salinan berfungsi di layar detail. Saat tab dibuka, layar langsung masuk ke langkah Stempel TERA (atau langkah yang sedang berjalan) pada salinan aktif, yaitu salinan pertama yang belum selesai. Daftar salinan dibuka lewat tombol "Daftar Salinan" untuk mengganti salinan atau mengunggah salinan lain. Bila order belum punya salinan, tab menampilkan daftar kosong beserta kartu unggah, dan setelah unggah berhasil layar langsung masuk ke langkah Stempel TERA. Di atas daftar, tampilkan IDDS Alert info yang menjelaskan bahwa tab ini untuk salinan elektronik yang dibubuhi stempel TERA, tanda tangan elektronik, dan e-Meterai, lalu dikirim sebagai lampiran PDF. Pindaian salinan bertanda tangan basah yang dikirim sebagai tautan dikelola di menu Salinan Akta (ada tautannya). Kartu unggah tetap berisi Label (opsional) dan tombol "Unggah Salinan (PDF)". Galat format dan ukuran tampil di bawah isian, bukan toast, dan unggahan menampilkan status memuat. Setiap salinan memakai lencana status berbahasa Indonesia (Selesai, Diproses, Draf) serta lencana langkah Stempel TERA, Tanda Tangan Elektronik, dan e-Meterai. Bila PPAT penanda tangan belum ditetapkan, tampilkan IDDS Alert caution dengan tautan ke Profil Kantor. Tombol Bantuan di tab ini membuka tanya jawab khusus salinan.</t>
  </si>
  <si>
    <t>H2 Match Between System and the Real World; H10 Help and Documentation</t>
  </si>
  <si>
    <t>Temuan penelusuran kode live (prototipe HE)</t>
  </si>
  <si>
    <t>Akta › Penandatanganan Akta › detail › tab Salinan</t>
  </si>
  <si>
    <t>Tab Salinan menjelaskan bedanya dengan menu Salinan Akta, menampilkan galat unggah di bawah isian, dan memakai lencana status berbahasa Indonesia.</t>
  </si>
  <si>
    <t>Fitur sama dengan live; hanya tampilan, bahasa, dan penjelasan yang disesuaikan.</t>
  </si>
  <si>
    <t>HE-EAW-11</t>
  </si>
  <si>
    <t>Kelola salinan: stepper bernomor, urutan wajib, dan konfirmasi kuota</t>
  </si>
  <si>
    <t>Layar Kelola baru terbuka setelah pengguna mengklik "Kelola" di daftar salinan. Stepper berupa tiga lingkaran "Digital Stamp → E-Signature → E-Materai" tanpa nomor dan status. Tombol "1. Generate SN (kuota)" dan "Generate Ulang SN" langsung memakai kuota (Rp 10.000) tanpa konfirmasi, tanpa tampilan sisa kuota. Tombol unduh bercampur: "Unduh PDF Ber-stempel", "Unduh Salinan Tersign", "Unduh PDF Ber-meterai". Dialog OTP hanya satu kolom angka "000000" tanpa masa berlaku.</t>
  </si>
  <si>
    <t>Tab Salinan langsung membuka layar Kelola pada langkah Stempel TERA salinan aktif. Kepala layar menyebut salinan yang sedang dikerjakan (mis. "Sedang dikerjakan (2 dari 2): Salinan Pembeli") beserta statusnya, dan tombol "Daftar Salinan" dipakai untuk mengganti salinan. Kelola salinan memakai IDDS Stepper, penampil PDF, kartu "Langkah berikutnya", dialog OTP dengan masa berlaku, dan alert TERA kantor atau e-Meterai yang sama dengan tab Minuta. Langkah 2 dan 3 tampil terkunci dengan alasan dan tombol ke langkah sebelumnya. Sebelum nomor seri dibuat, IDDS Modal Confirmation "Pakai 1 kuota e-Meterai?" menyebut biaya Rp10.000 dan akun Peruri. Label dibakukan: "Stempel TERA", "Tanda Tangan Elektronik", "e-Meterai", "Buat Nomor Seri (pakai 1 kuota)", serta tombol unduh "Unduh Salinan Berstempel", "Unduh Salinan Bertanda Tangan", dan "Unduh Salinan Bermeterai".</t>
  </si>
  <si>
    <t>H5 Error Prevention; H1 Visibility of System Status; H4 Consistency and Standards</t>
  </si>
  <si>
    <t>Akta › Penandatanganan Akta › tab Salinan › Kelola</t>
  </si>
  <si>
    <t>Kelola salinan memakai stepper bernomor yang sama dengan tab Minuta, mengunci langkah 2 dan 3 beserta alasannya, dan meminta konfirmasi sebelum memakai kuota e-Meterai.</t>
  </si>
  <si>
    <t>HE-EAW-12</t>
  </si>
  <si>
    <t>Salinan: hapus berkonfirmasi dan kirim lampiran berlabel jelas</t>
  </si>
  <si>
    <t>Hapus memakai window.confirm bawaan browser: 'Hapus salinan "{label}"? File tanda tangan (bila ada) ikut terhapus.' Dialog kirim hanya menyebut "Dokumen {label} yang telah ditandatangani akan dikirim sebagai lampiran PDF (bukan tautan)." tanpa nama berkas atau tahap yang sudah selesai. Peran penerima tampil sebagai kode mentah, dan galat "Pilih minimal 1 penerima dengan email valid." tampil sebagai toast.</t>
  </si>
  <si>
    <t>Hapus salinan memakai IDDS Modal Confirmation bertombol merah yang menyebut nama salinan dan dampaknya, lalu fokus kembali ke daftar. Dialog "Kirim Salinan via Email" menampilkan nama berkas lampiran dan tahap yang sudah selesai, memberi peringatan bila salinan belum lengkap, menampilkan peran penerima dalam bahasa Indonesia (bukan kode MANUAL), dan menampilkan galat email di bawah isian.</t>
  </si>
  <si>
    <t>Akta › Penandatanganan Akta › tab Salinan › Hapus dan Kirim via Email</t>
  </si>
  <si>
    <t>Menghapus salinan memakai dialog konfirmasi bertombol merah dengan fokus kembali, dan dialog Kirim via Email menampilkan nama berkas, langkah yang sudah dibubuhkan, serta pesan galat di bawah isian.</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</si>
  <si>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</si>
  <si>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</si>
  <si>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</si>
  <si>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</si>
  <si>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</si>
  <si>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</si>
  <si>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</si>
  <si>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</si>
  <si>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</si>
  <si>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</si>
  <si>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</si>
  <si>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</si>
  <si>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</si>
  <si>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</si>
  <si>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</si>
  <si>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</si>
  <si>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</si>
  <si>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</si>
  <si>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</si>
  <si>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</si>
  <si>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</si>
  <si>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</si>
  <si>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</si>
  <si>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</si>
  <si>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</si>
  <si>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</si>
  <si>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</si>
  <si>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</si>
  <si>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</si>
  <si>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</si>
  <si>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</si>
  <si>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</si>
  <si>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</si>
  <si>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</si>
  <si>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</si>
  <si>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</si>
  <si>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</si>
  <si>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</si>
  <si>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</si>
  <si>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</si>
  <si>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</si>
  <si>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</si>
  <si>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</si>
  <si>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</si>
  <si>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</si>
  <si>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</si>
  <si>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</si>
  <si>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</si>
  <si>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</si>
  <si>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</si>
  <si>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</si>
  <si>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</si>
  <si>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</si>
  <si>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</si>
  <si>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</si>
  <si>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</si>
  <si>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</si>
  <si>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</si>
  <si>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</si>
  <si>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</si>
  <si>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</si>
  <si>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</si>
  <si>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</si>
  <si>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</si>
  <si>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</si>
  <si>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</si>
  <si>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</si>
  <si>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</si>
  <si>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</si>
  <si>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</si>
  <si>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</si>
  <si>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</si>
  <si>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</si>
  <si>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</si>
  <si>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</si>
  <si>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</si>
  <si>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</si>
  <si>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</si>
  <si>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</si>
  <si>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</si>
  <si>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</si>
  <si>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</si>
  <si>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</si>
  <si>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</si>
  <si>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</si>
  <si>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</si>
  <si>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</si>
  <si>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</si>
  <si>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</si>
  <si>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</si>
  <si>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</si>
  <si>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</si>
  <si>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</si>
  <si>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</si>
  <si>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</si>
  <si>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</si>
  <si>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</si>
  <si>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</si>
  <si>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</si>
  <si>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</si>
  <si>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</si>
  <si>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</si>
  <si>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</si>
  <si>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</si>
  <si>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</si>
  <si>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</si>
  <si>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</si>
  <si>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</si>
  <si>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</si>
  <si>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</si>
  <si>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</si>
  <si>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</si>
  <si>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</si>
  <si>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</si>
  <si>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</si>
  <si>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</si>
  <si>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</si>
  <si>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</si>
  <si>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</si>
  <si>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</si>
  <si>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</si>
  <si>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</si>
  <si>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</si>
  <si>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</si>
  <si>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</si>
  <si>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</si>
  <si>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</si>
  <si>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</si>
  <si>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</si>
  <si>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</si>
  <si>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</si>
  <si>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</si>
  <si>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</si>
  <si>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</si>
  <si>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</si>
  <si>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</si>
  <si>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</si>
  <si>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</si>
  <si>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</si>
  <si>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</si>
  <si>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</si>
  <si>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</si>
  <si>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</si>
  <si>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</si>
  <si>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</si>
  <si>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</si>
  <si>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</si>
  <si>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</si>
  <si>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</si>
  <si>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</si>
  <si>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</si>
  <si>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</si>
  <si>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</si>
  <si>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</si>
  <si>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</si>
  <si>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</si>
  <si>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</si>
  <si>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</si>
  <si>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</si>
  <si>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</si>
  <si>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</si>
  <si>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</si>
  <si>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</si>
  <si>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</si>
  <si>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</si>
  <si>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</si>
  <si>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</si>
  <si>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</si>
  <si>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</si>
  <si>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</si>
  <si>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</si>
  <si>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</si>
  <si>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</si>
  <si>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</si>
  <si>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</si>
  <si>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</si>
  <si>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</si>
  <si>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</si>
  <si>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</si>
  <si>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</si>
  <si>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</si>
  <si>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</si>
  <si>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</si>
  <si>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</si>
  <si>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</si>
  <si>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</si>
  <si>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</si>
  <si>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</si>
  <si>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</si>
  <si>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</si>
  <si>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</si>
  <si>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</si>
  <si>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</si>
  <si>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</si>
  <si>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</si>
  <si>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</si>
  <si>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</si>
  <si>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</si>
  <si>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</si>
  <si>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</si>
  <si>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</si>
  <si>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</si>
  <si>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</si>
  <si>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</si>
  <si>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</si>
  <si>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</si>
  <si>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</si>
  <si>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</si>
  <si>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</si>
  <si>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</si>
  <si>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</si>
  <si>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</si>
  <si>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</si>
  <si>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</si>
  <si>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</si>
  <si>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</si>
  <si>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</si>
  <si>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</si>
  <si>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</si>
  <si>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</si>
  <si>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</si>
  <si>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</si>
  <si>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</si>
  <si>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</si>
  <si>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</si>
  <si>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</si>
  <si>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</si>
  <si>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</si>
  <si>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</si>
  <si>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</si>
  <si>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</si>
  <si>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</si>
  <si>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</si>
  <si>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</si>
  <si>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</si>
  <si>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</si>
  <si>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</si>
  <si>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</si>
  <si>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</si>
  <si>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</si>
  <si>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</si>
  <si>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</si>
  <si>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</si>
  <si>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</si>
  <si>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</si>
  <si>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</si>
  <si>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</si>
  <si>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</si>
  <si>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</si>
  <si>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</si>
  <si>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</si>
  <si>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</si>
  <si>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</si>
  <si>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</si>
  <si>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</si>
  <si>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</si>
  <si>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</si>
  <si>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</si>
  <si>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</si>
  <si>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</si>
  <si>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</si>
  <si>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</si>
  <si>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</si>
  <si>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</si>
  <si>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</si>
  <si>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</si>
  <si>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</si>
  <si>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</si>
  <si>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</si>
  <si>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</si>
  <si>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</si>
  <si>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</si>
  <si>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</si>
  <si>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</si>
  <si>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</si>
  <si>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</si>
  <si>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</si>
  <si>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</si>
  <si>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</si>
  <si>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</si>
  <si>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</si>
  <si>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</si>
  <si>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</si>
  <si>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</si>
  <si>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</si>
  <si>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</si>
  <si>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</si>
  <si>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</si>
  <si>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</si>
  <si>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</si>
  <si>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</si>
  <si>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</si>
  <si>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</si>
  <si>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</si>
  <si>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</si>
  <si>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</si>
  <si>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</si>
  <si>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</si>
  <si>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</si>
  <si>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</si>
  <si>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</si>
  <si>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</si>
  <si>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</si>
  <si>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</si>
  <si>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</si>
  <si>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</si>
  <si>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</si>
  <si>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</si>
  <si>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</si>
  <si>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</si>
  <si>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</si>
  <si>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</si>
  <si>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</si>
  <si>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</si>
  <si>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</si>
  <si>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</si>
  <si>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</si>
  <si>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</si>
  <si>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</si>
  <si>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</si>
  <si>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</si>
  <si>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</si>
  <si>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</si>
  <si>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</si>
  <si>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</si>
  <si>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</si>
  <si>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</si>
  <si>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</si>
  <si>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</si>
  <si>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</si>
  <si>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</si>
  <si>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</si>
  <si>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</si>
  <si>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</si>
  <si>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</si>
  <si>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</si>
  <si>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</si>
  <si>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</si>
  <si>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</si>
  <si>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</si>
  <si>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</si>
  <si>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</si>
  <si>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</si>
  <si>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</si>
  <si>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</si>
  <si>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</si>
  <si>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</si>
  <si>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</si>
  <si>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</si>
  <si>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</si>
  <si>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</si>
  <si>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</si>
  <si>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</si>
  <si>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</si>
  <si>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</si>
  <si>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</si>
  <si>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</si>
  <si>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</si>
  <si>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</si>
  <si>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</si>
  <si>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</si>
  <si>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</si>
  <si>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</si>
  <si>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</si>
  <si>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</si>
  <si>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</si>
  <si>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</si>
  <si>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</si>
  <si>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</si>
  <si>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</si>
  <si>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</si>
  <si>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</si>
  <si>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</si>
  <si>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</si>
  <si>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</si>
  <si>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</si>
  <si>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</si>
  <si>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</si>
  <si>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</si>
  <si>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</si>
  <si>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</si>
  <si>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</si>
  <si>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</si>
  <si>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</si>
  <si>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</si>
  <si>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</si>
  <si>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</si>
  <si>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</si>
  <si>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</si>
  <si>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</si>
  <si>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</si>
  <si>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</si>
  <si>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</si>
  <si>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</si>
  <si>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</si>
  <si>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</si>
  <si>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</si>
  <si>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</si>
  <si>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</si>
  <si>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</si>
  <si>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</si>
  <si>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</si>
  <si>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</si>
  <si>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</si>
  <si>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</si>
  <si>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</si>
  <si>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</si>
  <si>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</si>
  <si>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</si>
  <si>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</si>
  <si>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</si>
  <si>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</si>
  <si>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</si>
  <si>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</si>
  <si>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</si>
  <si>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</si>
  <si>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</si>
  <si>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</si>
  <si>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</si>
  <si>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</si>
  <si>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</si>
  <si>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</si>
  <si>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</si>
  <si>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</si>
  <si>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</si>
  <si>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</si>
  <si>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</si>
  <si>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</si>
  <si>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</si>
  <si>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</si>
  <si>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</si>
  <si>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</si>
  <si>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</si>
  <si>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</si>
  <si>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</si>
  <si>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</si>
  <si>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</si>
  <si>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</si>
  <si>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</si>
  <si>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</si>
  <si>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</si>
  <si>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</si>
  <si>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</si>
  <si>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</si>
  <si>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</si>
  <si>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</si>
  <si>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</si>
  <si>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</si>
  <si>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</si>
  <si>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</si>
  <si>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</si>
  <si>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</si>
  <si>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</si>
  <si>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</si>
  <si>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</si>
  <si>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</si>
  <si>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</si>
  <si>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</si>
  <si>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</si>
  <si>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</si>
  <si>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</si>
  <si>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</si>
  <si>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</si>
  <si>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</si>
  <si>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</si>
  <si>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</si>
  <si>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</si>
  <si>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</si>
  <si>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</si>
  <si>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</si>
  <si>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</si>
  <si>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</si>
  <si>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</si>
  <si>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</si>
  <si>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</si>
  <si>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</si>
  <si>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</si>
  <si>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</si>
  <si>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</si>
  <si>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</si>
  <si>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</si>
  <si>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</si>
  <si>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</si>
  <si>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</si>
  <si>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</si>
  <si>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</si>
  <si>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</si>
  <si>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</si>
  <si>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</si>
  <si>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</si>
  <si>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</si>
  <si>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</si>
  <si>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</si>
  <si>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</si>
  <si>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</si>
  <si>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</si>
  <si>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</si>
  <si>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</si>
  <si>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</si>
  <si>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Atur Ulang"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</si>
  <si>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</si>
  <si>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</si>
  <si>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</si>
  <si>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</si>
  <si>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</si>
  <si>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</si>
  <si>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</si>
  <si>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</si>
  <si>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</si>
  <si>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</si>
  <si>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</si>
  <si>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</si>
  <si>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</si>
  <si>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</si>
  <si>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</si>
  <si>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</si>
  <si>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</si>
  <si>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</si>
  <si>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</si>
  <si>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</si>
  <si>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</si>
  <si>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</si>
  <si>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</si>
  <si>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</si>
  <si>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"Atur Ulang MFA" meminta konfirmasi lewat IDDS Modal Confirmation bertombol merah yang menyebut dampaknya. Kode cadangan baru ditampilkan sekali dengan tombol Salin dan Unduh. Status MFA memakai IDDS Badge, dan keterangan Atur Ulang MFA ditujukan kepada pemilik akun.</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</si>
  <si>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</si>
  <si>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</si>
  <si>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</si>
  <si>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</si>
  <si>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</si>
  <si>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</si>
  <si>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</si>
  <si>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</si>
  <si>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</si>
  <si>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</si>
  <si>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</si>
  <si>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</si>
  <si>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</si>
  <si>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</si>
  <si>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</si>
  <si>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</si>
  <si>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</si>
  <si>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</si>
  <si>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</si>
  <si>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</si>
  <si>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</si>
  <si>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</si>
  <si>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</si>
  <si>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</si>
  <si>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</si>
  <si>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</si>
  <si>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</si>
  <si>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</si>
  <si>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</si>
  <si>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</si>
  <si>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</si>
  <si>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</si>
  <si>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</si>
  <si>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</si>
  <si>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</si>
  <si>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</si>
  <si>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</si>
  <si>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</si>
  <si>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</si>
  <si>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</si>
  <si>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</si>
  <si>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</si>
  <si>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</si>
  <si>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</si>
  <si>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</si>
  <si>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</si>
  <si>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</si>
  <si>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</si>
  <si>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</si>
  <si>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</si>
  <si>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</si>
  <si>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</si>
  <si>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</si>
  <si>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</si>
  <si>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</si>
  <si>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</si>
  <si>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</si>
  <si>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</si>
  <si>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</si>
  <si>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</si>
  <si>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</si>
  <si>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</si>
  <si>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</si>
  <si>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</si>
  <si>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</si>
  <si>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</si>
  <si>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</si>
  <si>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</si>
  <si>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</si>
  <si>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</si>
  <si>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</si>
  <si>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</si>
  <si>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</si>
  <si>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</si>
  <si>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</si>
  <si>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</si>
  <si>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</si>
  <si>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</si>
  <si>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</si>
  <si>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</si>
  <si>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</si>
  <si>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</si>
  <si>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</si>
  <si>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</si>
  <si>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</si>
  <si>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</si>
  <si>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</si>
  <si>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</si>
  <si>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</si>
  <si>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</si>
  <si>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</si>
  <si>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</si>
  <si>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</si>
  <si>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</si>
  <si>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</si>
  <si>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</si>
  <si>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</si>
  <si>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</si>
  <si>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</si>
  <si>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</si>
  <si>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</si>
  <si>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</si>
  <si>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</si>
  <si>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</si>
  <si>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</si>
  <si>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</si>
  <si>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</si>
  <si>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</si>
  <si>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</si>
  <si>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</si>
  <si>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</si>
  <si>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</si>
  <si>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</si>
  <si>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</si>
  <si>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</si>
  <si>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</si>
  <si>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</si>
  <si>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</si>
  <si>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</si>
  <si>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</si>
  <si>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</si>
  <si>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</si>
  <si>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</si>
  <si>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</si>
  <si>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</si>
  <si>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</si>
  <si>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</si>
  <si>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</si>
  <si>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</si>
  <si>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</si>
  <si>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</si>
  <si>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</si>
  <si>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</si>
  <si>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</si>
  <si>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</si>
  <si>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</si>
  <si>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</si>
  <si>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</si>
  <si>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</si>
  <si>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</si>
  <si>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</si>
  <si>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</si>
  <si>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</si>
  <si>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</si>
  <si>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</si>
  <si>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</si>
  <si>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</si>
  <si>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</si>
  <si>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</si>
  <si>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</si>
  <si>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</si>
  <si>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</si>
  <si>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</si>
  <si>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</si>
  <si>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</si>
  <si>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</si>
  <si>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</si>
  <si>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</si>
  <si>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</si>
  <si>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Atur Ulang MFA meminta konfirmasi bertombol merah.</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</si>
  <si>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</si>
  <si>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</si>
  <si>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</si>
  <si>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</si>
  <si>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</si>
  <si>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</si>
  <si>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</si>
  <si>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</si>
  <si>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</si>
  <si>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</si>
  <si>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</si>
  <si>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</si>
  <si>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</si>
  <si>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</si>
  <si>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</si>
  <si>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</si>
  <si>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</si>
  <si>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</si>
  <si>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</si>
  <si>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</si>
  <si>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</si>
  <si>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</si>
  <si>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</si>
  <si>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</si>
  <si>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</si>
  <si>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</si>
  <si>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</si>
  <si>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</si>
  <si>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</si>
  <si>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</si>
  <si>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</si>
  <si>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</si>
  <si>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</si>
  <si>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</si>
  <si>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</si>
  <si>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</si>
  <si>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</si>
  <si>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</si>
  <si>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</si>
  <si>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</si>
  <si>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</si>
  <si>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</si>
  <si>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</si>
  <si>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</si>
  <si>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</si>
  <si>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</si>
  <si>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</si>
  <si>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</si>
  <si>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</si>
  <si>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</si>
  <si>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</si>
  <si>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</si>
  <si>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</si>
  <si>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</si>
  <si>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</si>
  <si>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</si>
  <si>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</si>
  <si>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</si>
  <si>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</si>
  <si>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</si>
  <si>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</si>
  <si>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</si>
  <si>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</si>
  <si>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</si>
  <si>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</si>
  <si>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</si>
  <si>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</si>
  <si>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</si>
  <si>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</si>
  <si>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</si>
  <si>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</si>
  <si>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</si>
  <si>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</si>
  <si>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</si>
  <si>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</si>
  <si>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</si>
  <si>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</si>
  <si>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</si>
  <si>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</si>
  <si>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</si>
  <si>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</si>
  <si>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</si>
  <si>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</si>
  <si>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</si>
  <si>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</si>
  <si>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</si>
  <si>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</si>
  <si>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</si>
  <si>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</si>
  <si>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</si>
  <si>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</si>
  <si>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</si>
  <si>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</si>
  <si>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</si>
  <si>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</si>
  <si>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</si>
  <si>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</si>
  <si>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</si>
  <si>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</si>
  <si>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</si>
  <si>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</si>
  <si>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</si>
  <si>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</si>
  <si>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</si>
  <si>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</si>
  <si>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</si>
  <si>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</si>
  <si>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</si>
  <si>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</si>
  <si>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</si>
  <si>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</si>
  <si>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</si>
  <si>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</si>
  <si>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</si>
  <si>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</si>
  <si>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</si>
  <si>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</si>
  <si>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</si>
  <si>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Perkiraan kenaikan nilai HE bila prototipe diterapkan</t>
  </si>
  <si>
    <t>Laporan Heuristic Evaluation ePPAT (Tim Riset INA Digital, Oktober 2026) di UX Metric Lab; skor keseluruhan 58,3 = rata-rata skor 11 halaman.</t>
  </si>
  <si>
    <t>Halaman (laporan HE → nama menu baru)</t>
  </si>
  <si>
    <t>Skor HE sekarang</t>
  </si>
  <si>
    <t>Perkiraan batas bawah</t>
  </si>
  <si>
    <t>Perkiraan batas atas</t>
  </si>
  <si>
    <t>Kenaikan (batas bawah)</t>
  </si>
  <si>
    <t>Kenaikan (batas atas)</t>
  </si>
  <si>
    <t>Jenis penahan</t>
  </si>
  <si>
    <t>Yang menahan nilai di bawah batas atas</t>
  </si>
  <si>
    <t>E-Akta Wizard (PPAT) → Penandatanganan Akta</t>
  </si>
  <si>
    <t>Backend E-PPAT</t>
  </si>
  <si>
    <t>Backend E-PPAT: pindah otomatis ke halaman dokumen tempat tanda tangan dibubuhkan.</t>
  </si>
  <si>
    <t>Super Admin - Registrasi TERA</t>
  </si>
  <si>
    <t>Pihak ketiga (Peruri)</t>
  </si>
  <si>
    <t>Peruri: proses TERA masih manual sehingga perkiraan waktu resmi belum tersedia.</t>
  </si>
  <si>
    <t>E-Akta Wizard (Non-PPAT) → Penandatanganan Akta (Klien)</t>
  </si>
  <si>
    <t>Backend E-PPAT: pindah otomatis ke halaman tanda tangan dan tanda tangan beberapa dokumen sekaligus.</t>
  </si>
  <si>
    <t>Minuta Akta (PPAT &amp; Asisten) → Penyusunan Akta</t>
  </si>
  <si>
    <t>Backend E-PPAT: editor dinilai terlalu padat dan memiliki kurva belajar tinggi; fitur cek ejaan dan lampiran masih segera hadir.</t>
  </si>
  <si>
    <t>Penyusunan Akta (PPAT) v2 — usulan tampilan</t>
  </si>
  <si>
    <t>Backend E-PPAT (kecil)</t>
  </si>
  <si>
    <t>Tata letak editor ala pengolah kata menjawab temuan editor terlalu padat dan kurva belajar tinggi. Yang tersisa hanya fitur yang masih segera hadir (lampiran) dan pemotongan halaman yang harus sama dengan pembuat PDF.</t>
  </si>
  <si>
    <t>Super Admin - Order AJB → Permohonan AJB</t>
  </si>
  <si>
    <t>Backend E-PPAT: tambah pihak secara massal dan otomatisasi langkah manual.</t>
  </si>
  <si>
    <t>Super Admin - Verifikasi Akta → Verifikasi Berkas</t>
  </si>
  <si>
    <t>Tampilan</t>
  </si>
  <si>
    <t>Tidak ada penahan besar; bergantung pada penerapan utuh usulan tampilan.</t>
  </si>
  <si>
    <t>Registrasi CA</t>
  </si>
  <si>
    <t>Peruri: perkiraan waktu proses CA/eKYC dan notifikasi CA aktif bergantung pada data Peruri.</t>
  </si>
  <si>
    <t>Login (Onboarding)</t>
  </si>
  <si>
    <t>Tidak ada penahan besar.</t>
  </si>
  <si>
    <t>Backend E-PPAT: urutan waktu tahap, lencana status akun, dan email aktivasi tanpa kata sandi.</t>
  </si>
  <si>
    <t>Super Admin - Daftar User → Daftar Pengguna</t>
  </si>
  <si>
    <t>Rata-rata keseluruhan (11 halaman, dengan Penyusunan Akta lama)</t>
  </si>
  <si>
    <t>Skor keseluruhan HE saat ini 58,3 (kategori Perlu Perhatian).</t>
  </si>
  <si>
    <t>Rata-rata keseluruhan (11 halaman, dengan Penyusunan Akta v2)</t>
  </si>
  <si>
    <t>Alternatif bila Penyusunan Akta memakai tampilan v2.</t>
  </si>
  <si>
    <t>Yang menutupnya di prototipe</t>
  </si>
  <si>
    <t>Visibility of System Status</t>
  </si>
  <si>
    <t>Status tersimpan, stepper bernomor, status sistem dengan waktu pemeriksaan.</t>
  </si>
  <si>
    <t>Match Between System and the Real World</t>
  </si>
  <si>
    <t>Bahasa Indonesia baku; istilah CA, TERA, OTP, dan e-Meterai dijelaskan dengan ikon ?.</t>
  </si>
  <si>
    <t>User Control and Freedom</t>
  </si>
  <si>
    <t>Tombol Batal dan Kembali, peringatan sebelum meninggalkan perubahan, urungkan.</t>
  </si>
  <si>
    <t>Consistency and Standards</t>
  </si>
  <si>
    <t>Komponen IDDS seragam, sidebar dan header sama di semua halaman, label baku.</t>
  </si>
  <si>
    <t>Help Users Recognize, Diagnose, and Recover From Errors</t>
  </si>
  <si>
    <t>Pesan galat di bawah isian dengan cara memperbaiki.</t>
  </si>
  <si>
    <t>Error Prevention</t>
  </si>
  <si>
    <t>Konfirmasi aksi berdampak bertombol merah, validasi sebelum kirim, konfirmasi kuota.</t>
  </si>
  <si>
    <t>Recognition Rather Than Recall</t>
  </si>
  <si>
    <t>Variabel disorot, kertas sesuai hasil cetak, penanda variabel belum terisi.</t>
  </si>
  <si>
    <t>Flexibility and Efficiency of Use</t>
  </si>
  <si>
    <t>Cari, saring, dan urutkan; aksi massal dan otomatisasi bergantung pada backend.</t>
  </si>
  <si>
    <t>Aesthetic and Minimalist Design</t>
  </si>
  <si>
    <t>Tata letak lebih lega, aksi utama ditonjolkan, editor ala pengolah kata.</t>
  </si>
  <si>
    <t>Help and Documentation</t>
  </si>
  <si>
    <t>Bantuan, FAQ, kontak, dan ikon ? di setiap halaman.</t>
  </si>
  <si>
    <t>Privacy</t>
  </si>
  <si>
    <t>Email aktivasi tanpa kata sandi dalam teks biasa.</t>
  </si>
  <si>
    <t>Asumsi dan batasan perkiraan</t>
  </si>
  <si>
    <t>• Angka perkiraan adalah hitungan tim backlog, bukan penilaian evaluator. Nilai pasti hanya dapat diperoleh lewat evaluasi ulang oleh INA Digital dengan checklist yang sama.</t>
  </si>
  <si>
    <t>• Perkiraan dihitung dari jumlah butir gagal per prinsip di laporan HE dikalikan perkiraan porsi yang ditutup oleh usulan prototipe. Daftar butir checklist per halaman tidak tersedia.</t>
  </si>
  <si>
    <t>• Batas bawah mengasumsikan sekitar separuh usulan diterapkan persis seperti prototipe dan pekerjaan backend/pihak ketiga belum dikerjakan. Batas atas mengasumsikan semua usulan diterapkan utuh.</t>
  </si>
  <si>
    <t>• Penyusunan Akta (PPAT) v2 adalah alternatif tampilan untuk halaman Minuta Akta. Rata-rata keseluruhan dihitung dua kali: dengan prototipe Penyusunan Akta lama dan dengan v2.</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</si>
  <si>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</si>
  <si>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</si>
  <si>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</si>
  <si>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</si>
  <si>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</si>
  <si>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</si>
  <si>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</si>
  <si>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prototipe/Backlog-HE-TERA-Prototype.html</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</si>
  <si>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</si>
  <si>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</si>
  <si>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</si>
  <si>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</si>
  <si>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</si>
  <si>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</si>
  <si>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</si>
  <si>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</si>
  <si>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</si>
  <si>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</si>
  <si>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</si>
  <si>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</si>
  <si>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</si>
  <si>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</si>
  <si>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</si>
  <si>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</si>
  <si>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</si>
  <si>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</si>
  <si>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</si>
  <si>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</si>
  <si>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</si>
  <si>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</si>
  <si>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</si>
  <si>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</si>
  <si>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</si>
  <si>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</si>
  <si>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</si>
  <si>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</si>
  <si>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</si>
  <si>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</si>
  <si>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</si>
  <si>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</si>
  <si>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</si>
  <si>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</si>
  <si>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</si>
  <si>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</si>
  <si>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</si>
  <si>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</si>
  <si>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</si>
  <si>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</si>
  <si>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</si>
  <si>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</si>
  <si>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</si>
  <si>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</si>
  <si>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</si>
  <si>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</si>
  <si>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</si>
  <si>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</si>
  <si>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</si>
  <si>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</si>
  <si>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</si>
  <si>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</si>
  <si>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</si>
  <si>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</si>
  <si>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</si>
  <si>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</si>
  <si>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</si>
  <si>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</si>
  <si>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</si>
  <si>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</si>
  <si>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</si>
  <si>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</si>
  <si>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</si>
  <si>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</si>
  <si>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</si>
  <si>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</si>
  <si>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</si>
  <si>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</si>
  <si>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</si>
  <si>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</si>
  <si>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</si>
  <si>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</si>
  <si>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</si>
  <si>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</si>
  <si>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</si>
  <si>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</si>
  <si>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</si>
  <si>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</si>
  <si>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</si>
  <si>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</si>
  <si>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</si>
  <si>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</si>
  <si>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</si>
  <si>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</si>
  <si>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</si>
  <si>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</si>
  <si>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</si>
  <si>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</si>
  <si>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</si>
  <si>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</si>
  <si>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</si>
  <si>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</si>
  <si>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</si>
  <si>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</si>
  <si>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</si>
  <si>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</si>
  <si>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</si>
  <si>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</si>
  <si>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</si>
  <si>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</si>
  <si>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</si>
  <si>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</si>
  <si>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</si>
  <si>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</si>
  <si>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</si>
  <si>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</si>
  <si>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</si>
  <si>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</si>
  <si>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</si>
  <si>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</si>
  <si>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</si>
  <si>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</si>
  <si>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</si>
  <si>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</si>
  <si>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</si>
  <si>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</si>
  <si>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</si>
  <si>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</si>
  <si>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</si>
  <si>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</si>
  <si>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</si>
  <si>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</si>
  <si>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</si>
  <si>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</si>
  <si>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</si>
  <si>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</si>
  <si>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</si>
  <si>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</si>
  <si>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</si>
  <si>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</si>
  <si>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</si>
  <si>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</si>
  <si>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</si>
  <si>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</si>
  <si>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</si>
  <si>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</si>
  <si>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</si>
  <si>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</si>
  <si>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</si>
  <si>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</si>
  <si>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</si>
  <si>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</si>
  <si>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</si>
  <si>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</si>
  <si>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</si>
  <si>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HE-EAW-10–12</t>
  </si>
  <si>
    <t>Tab Salinan di Penandatanganan Akta dibuat sesuai fitur live: daftar salinan elektronik dengan unggah berlabel, kelola salinan (Stempel TERA, tanda tangan elektronik, e-Meterai) dengan pola langkah yang sama dengan tab Minuta, hapus berkonfirmasi, dan kirim lampiran via email. Ditambah penjelasan beda dengan menu Salinan Akta serta ikon ? bertooltip pada istilah di Penandatanganan Akta (PPAT dan Klien), Penyusunan Akta, dan Permohonan AJB. Semua tooltip dijaga agar tidak terpotong.</t>
  </si>
  <si>
    <t>prototipe/Backlog-HE-EAW-Prototype.html; Backlog-HE-EAWK-Prototype.html; Backlog-HE-MINUTA-Prototype.html; Backlog-HE-ORDER-Prototype.html</t>
  </si>
  <si>
    <t>Prototipe baru Penyusunan Akta v2 (usulan tampilan): editor naskah ala pengolah kata dengan tiga area (Navigasi, kertas seperti hasil cetak, panel Bagian), bilah menu dan satu bilah alat, panel yang dapat ditutup, serta laci di ponsel. Fitur tetap sama dengan live, Bantuan memakai isi yang sama, dan prototipe Penyusunan Akta lama dipertahankan sebagai pembanding.</t>
  </si>
  <si>
    <t>prototipe/Backlog-HE-MINUTA-V2-Prototype.html</t>
  </si>
  <si>
    <t>Menu Penyusunan Akta v2 ditambahkan ke menu samping semua prototipe tenant dan HE, tepat di bawah Penyusunan Akta, agar kedua versi dapat dibuka dan dibandingkan. Tampilan v2 disesuaikan dengan referensi: kepala naskah ringkas dengan tombol utama per peran, panel Navigasi dengan ikon jenis bagian, kertas per halaman dengan footer dan nomor halaman yang tampil saat menyusun dan di pratinjau. Editor tetap berada di dalam kerangka aplikasi (tanpa layar penuh).</t>
  </si>
  <si>
    <t>prototipe/Backlog-HE-MINUTA-V2-Prototype.html; sumber/sidebar-seragam.js; semua prototipe tenant dan HE</t>
  </si>
  <si>
    <t>Warna ikon menu samping disesuaikan dengan aturan warna IDDS (teks dan ikon memakai color family yang sama): ikon kini mengikuti warna teks menunya, yaitu putih redup saat biasa dan putih saat disorot atau aktif, menggantikan ikon emas #C2BB4B. Warna brand E-PPAT tetap tampil pada latar menu samping, menu aktif, dan kartu profil kantor. Uji kontras lulus.</t>
  </si>
  <si>
    <t>sumber/order-idds.html; sumber/tera-idds.html; semua prototipe tenant dan HE</t>
  </si>
  <si>
    <t>Semua ikon di luar menu samping (tombol, tabel, dialog, lencana, isian, kartu kantor, remah, dan index) diganti dengan Tabler Icons resmi versi 3.19.0, pustaka ikon IDDS. Sebanyak 112 jenis ikon dipetakan ke ikon Tabler yang paling dekat maknanya; audit isi SVG menunjukkan 0 ikon non-Tabler. Logo, ilustrasi, peta, kode QR, dan grafik tidak diubah.</t>
  </si>
  <si>
    <t>sumber/aset/tabler-ui.json; sumber/ikon-tabler.js; semua prototipe</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</si>
  <si>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</si>
  <si>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</si>
  <si>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</si>
  <si>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</si>
  <si>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</si>
  <si>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</si>
  <si>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</si>
  <si>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</si>
  <si>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</si>
  <si>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</si>
  <si>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</si>
  <si>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</si>
  <si>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</si>
  <si>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</si>
  <si>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Perkiraan Nilai HE</t>
  </si>
  <si>
    <t>Perkiraan kenaikan skor HE per halaman dan per prinsip bila prototipe diterapkan, termasuk alternatif Penyusunan Akta (PPAT) v2, beserta penahan nilai dan asumsinya. Data sumber: sumber/perkiraan-he.json.</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</si>
  <si>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</si>
  <si>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</si>
  <si>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</si>
  <si>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</si>
  <si>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</si>
  <si>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</si>
  <si>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</si>
  <si>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Acuan prototipe (tautan)</t>
  </si>
  <si>
    <t>Kolom Acuan prototipe berisi alamat lengkap halaman tujuan di situs https://he-eppat.vercel.app/ dan dapat diklik. Setiap backlog berisi satu alamat, yaitu prototipe yang dibahas backlog tersebut. Di dalam prototipe, tombol Daftar perubahan atau Daftar penyesuaian lalu Lihat di layar menunjukkan bagian yang berubah. Baris 3 setiap sheet menautkan ke daftar prototipe kelompok tersebut.</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</si>
  <si>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</si>
  <si>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</si>
  <si>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</si>
  <si>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</si>
  <si>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</si>
  <si>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</si>
  <si>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</si>
  <si>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</si>
  <si>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</si>
  <si>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</si>
  <si>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</si>
  <si>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H2</t>
  </si>
  <si>
    <t>H3</t>
  </si>
  <si>
    <t>H4</t>
  </si>
  <si>
    <t>H5</t>
  </si>
  <si>
    <t>Help Users Recognize, Diagnose, and Recover from Errors</t>
  </si>
  <si>
    <t>H6</t>
  </si>
  <si>
    <t>H7</t>
  </si>
  <si>
    <t>H8</t>
  </si>
  <si>
    <t>H9</t>
  </si>
  <si>
    <t>H10</t>
  </si>
  <si>
    <t>H11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</si>
</sst>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 mmm yyyy"/>
    <numFmt numFmtId="165" formatCode="0.0"/>
    <numFmt numFmtId="166" formatCode="+0.0;-0.0;0.0"/>
  </numFmts>
  <fonts count="16"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u/>
      <color rgb="FF0968F6"/>
      <sz val="9"/>
      <name val="Arial"/>
    </font>
    <font>
      <color rgb="FF1F1F1F"/>
      <sz val="9"/>
      <name val="Arial"/>
    </font>
    <font>
      <b/>
      <color rgb="FF3D6B5E"/>
      <sz val="9"/>
      <name val="Arial"/>
    </font>
    <font>
      <b/>
      <sz val="10"/>
      <name val="Arial"/>
    </font>
    <font>
      <color rgb="FF3D6B5E"/>
      <sz val="9"/>
      <name val="Arial"/>
    </font>
    <font>
      <b/>
      <sz val="9"/>
      <name val="Arial"/>
    </font>
    <font>
      <b/>
      <color rgb="FF3D6B5E"/>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3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0" borderId="0" xfId="0" applyFont="1" applyAlignment="1">
      <alignment vertical="center"/>
    </xf>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5" fontId="9" fillId="0" borderId="1" xfId="0" applyNumberFormat="1" applyFont="1" applyBorder="1" applyAlignment="1">
      <alignment horizontal="right" vertical="top"/>
    </xf>
    <xf numFmtId="166" fontId="9" fillId="0" borderId="1" xfId="0" applyNumberFormat="1" applyFont="1" applyBorder="1" applyAlignment="1">
      <alignment horizontal="right" vertical="top"/>
    </xf>
    <xf numFmtId="0" fontId="10" fillId="3" borderId="1" xfId="0" applyFont="1" applyFill="1" applyBorder="1" applyAlignment="1">
      <alignment vertical="top" wrapText="1"/>
    </xf>
    <xf numFmtId="165" fontId="12" fillId="3" borderId="1" xfId="0" applyNumberFormat="1" applyFont="1" applyFill="1" applyBorder="1" applyAlignment="1">
      <alignment horizontal="right" vertical="top"/>
    </xf>
    <xf numFmtId="166" fontId="12" fillId="3" borderId="1" xfId="0" applyNumberFormat="1" applyFont="1" applyFill="1" applyBorder="1" applyAlignment="1">
      <alignment horizontal="right" vertical="top"/>
    </xf>
    <xf numFmtId="0" fontId="12" fillId="3" borderId="1" xfId="0" applyFont="1" applyFill="1" applyBorder="1" applyAlignment="1">
      <alignment vertical="top" wrapText="1"/>
    </xf>
    <xf numFmtId="0" fontId="8" fillId="3" borderId="1" xfId="0" applyFont="1" applyFill="1" applyBorder="1" applyAlignment="1">
      <alignment vertical="top" wrapText="1"/>
    </xf>
    <xf numFmtId="0" fontId="13" fillId="5" borderId="1" xfId="0" applyFont="1" applyFill="1" applyBorder="1" applyAlignment="1">
      <alignment vertical="top" wrapText="1"/>
    </xf>
    <xf numFmtId="165" fontId="13" fillId="5" borderId="1" xfId="0" applyNumberFormat="1" applyFont="1" applyFill="1" applyBorder="1" applyAlignment="1">
      <alignment horizontal="right" vertical="top"/>
    </xf>
    <xf numFmtId="166" fontId="13" fillId="5" borderId="1" xfId="0" applyNumberFormat="1" applyFont="1" applyFill="1" applyBorder="1" applyAlignment="1">
      <alignment horizontal="right" vertical="top"/>
    </xf>
    <xf numFmtId="165" fontId="6" fillId="0" borderId="1" xfId="0" applyNumberFormat="1" applyFont="1" applyBorder="1" applyAlignment="1">
      <alignment horizontal="right" vertical="top"/>
    </xf>
    <xf numFmtId="166" fontId="6" fillId="0" borderId="1" xfId="0" applyNumberFormat="1" applyFont="1" applyBorder="1" applyAlignment="1">
      <alignment horizontal="right" vertical="top"/>
    </xf>
    <xf numFmtId="0" fontId="14" fillId="0" borderId="0" xfId="0" applyFont="1"/>
    <xf numFmtId="0" fontId="6" fillId="0" borderId="0" xfId="0" applyFont="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5"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8" t="str">
        <f>HYPERLINK("https://he-eppat.vercel.app/Brand-Mode-EPPAT-IDDS.html","https://he-eppat.vercel.app/Brand-Mode-EPPAT-IDDS.html")</f>
        <v>https://he-eppat.vercel.app/Brand-Mode-EPPAT-IDDS.html</v>
      </c>
      <c r="G7" s="6" t="s">
        <v>16</v>
      </c>
    </row>
    <row r="8" spans="1:7" x14ac:dyDescent="0.25">
      <c r="A8" s="6" t="s">
        <v>17</v>
      </c>
      <c r="B8" s="6" t="s">
        <v>12</v>
      </c>
      <c r="C8" s="6" t="s">
        <v>18</v>
      </c>
      <c r="D8" s="6" t="s">
        <v>19</v>
      </c>
      <c r="E8" s="7" t="s">
        <v>20</v>
      </c>
      <c r="F8" s="6" t="s">
        <v>21</v>
      </c>
      <c r="G8" s="6" t="s">
        <v>22</v>
      </c>
    </row>
    <row r="9" spans="1:7" x14ac:dyDescent="0.25">
      <c r="A9" s="6" t="s">
        <v>23</v>
      </c>
      <c r="B9" s="6" t="s">
        <v>12</v>
      </c>
      <c r="C9" s="6" t="s">
        <v>24</v>
      </c>
      <c r="D9" s="6" t="s">
        <v>25</v>
      </c>
      <c r="E9" s="7" t="s">
        <v>26</v>
      </c>
      <c r="F9" s="6" t="s">
        <v>21</v>
      </c>
      <c r="G9" s="6" t="s">
        <v>27</v>
      </c>
    </row>
    <row r="10" spans="1:7" x14ac:dyDescent="0.25">
      <c r="A10" s="6" t="s">
        <v>28</v>
      </c>
      <c r="B10" s="6" t="s">
        <v>12</v>
      </c>
      <c r="C10" s="6" t="s">
        <v>29</v>
      </c>
      <c r="D10" s="6" t="s">
        <v>30</v>
      </c>
      <c r="E10" s="7" t="s">
        <v>31</v>
      </c>
      <c r="F10" s="8" t="str">
        <f>HYPERLINK("https://he-eppat.vercel.app/Backlog-HE-ORDER-Prototype.html","https://he-eppat.vercel.app/Backlog-HE-ORDER-Prototype.html")</f>
        <v>https://he-eppat.vercel.app/Backlog-HE-ORDER-Prototype.html</v>
      </c>
      <c r="G10" s="6" t="s">
        <v>27</v>
      </c>
    </row>
    <row r="11" spans="1:7" x14ac:dyDescent="0.25">
      <c r="A11" s="6" t="s">
        <v>32</v>
      </c>
      <c r="B11" s="6" t="s">
        <v>12</v>
      </c>
      <c r="C11" s="6" t="s">
        <v>33</v>
      </c>
      <c r="D11" s="6" t="s">
        <v>34</v>
      </c>
      <c r="E11" s="7" t="s">
        <v>35</v>
      </c>
      <c r="F11" s="8" t="str">
        <f>HYPERLINK("https://he-eppat.vercel.app/Brand-Mode-EPPAT-IDDS.html","https://he-eppat.vercel.app/Brand-Mode-EPPAT-IDDS.html")</f>
        <v>https://he-eppat.vercel.app/Brand-Mode-EPPAT-IDDS.html</v>
      </c>
      <c r="G11" s="6" t="s">
        <v>27</v>
      </c>
    </row>
    <row r="12" spans="1:7" x14ac:dyDescent="0.25">
      <c r="A12" s="6" t="s">
        <v>36</v>
      </c>
      <c r="B12" s="6" t="s">
        <v>12</v>
      </c>
      <c r="C12" s="6" t="s">
        <v>37</v>
      </c>
      <c r="D12" s="6" t="s">
        <v>38</v>
      </c>
      <c r="E12" s="7" t="s">
        <v>39</v>
      </c>
      <c r="F12" s="6" t="s">
        <v>40</v>
      </c>
      <c r="G12" s="6" t="s">
        <v>22</v>
      </c>
    </row>
    <row r="13" spans="1:7" x14ac:dyDescent="0.25">
      <c r="A13" s="6" t="s">
        <v>41</v>
      </c>
      <c r="B13" s="6" t="s">
        <v>12</v>
      </c>
      <c r="C13" s="6" t="s">
        <v>42</v>
      </c>
      <c r="D13" s="6" t="s">
        <v>43</v>
      </c>
      <c r="E13" s="7" t="s">
        <v>44</v>
      </c>
      <c r="F13" s="8" t="str">
        <f>HYPERLINK("https://he-eppat.vercel.app/Brand-Mode-EPPAT-IDDS.html","https://he-eppat.vercel.app/Brand-Mode-EPPAT-IDDS.html")</f>
        <v>https://he-eppat.vercel.app/Brand-Mode-EPPAT-IDDS.html</v>
      </c>
      <c r="G13" s="6" t="s">
        <v>22</v>
      </c>
    </row>
    <row r="14" spans="1:7" x14ac:dyDescent="0.25">
      <c r="A14" s="6" t="s">
        <v>45</v>
      </c>
      <c r="B14" s="6" t="s">
        <v>12</v>
      </c>
      <c r="C14" s="6" t="s">
        <v>46</v>
      </c>
      <c r="D14" s="6" t="s">
        <v>47</v>
      </c>
      <c r="E14" s="7" t="s">
        <v>48</v>
      </c>
      <c r="F14" s="6" t="s">
        <v>21</v>
      </c>
      <c r="G14" s="6" t="s">
        <v>22</v>
      </c>
    </row>
    <row r="15" spans="1:7" x14ac:dyDescent="0.25">
      <c r="A15" s="6" t="s">
        <v>49</v>
      </c>
      <c r="B15" s="6" t="s">
        <v>12</v>
      </c>
      <c r="C15" s="6" t="s">
        <v>50</v>
      </c>
      <c r="D15" s="6" t="s">
        <v>51</v>
      </c>
      <c r="E15" s="7" t="s">
        <v>52</v>
      </c>
      <c r="F15" s="8" t="str">
        <f>HYPERLINK("https://he-eppat.vercel.app/Backlog-IDDS-TN-CMS-Prototype.html","https://he-eppat.vercel.app/Backlog-IDDS-TN-CMS-Prototype.html")</f>
        <v>https://he-eppat.vercel.app/Backlog-IDDS-TN-CMS-Prototype.html</v>
      </c>
      <c r="G15" s="6" t="s">
        <v>53</v>
      </c>
    </row>
    <row r="16" spans="1:7" x14ac:dyDescent="0.25">
      <c r="A16" s="6" t="s">
        <v>54</v>
      </c>
      <c r="B16" s="6" t="s">
        <v>12</v>
      </c>
      <c r="C16" s="6" t="s">
        <v>55</v>
      </c>
      <c r="D16" s="6" t="s">
        <v>56</v>
      </c>
      <c r="E16" s="7" t="s">
        <v>57</v>
      </c>
      <c r="F16" s="8" t="str">
        <f>HYPERLINK("https://he-eppat.vercel.app/Backlog-IDDS-TN-CMS-Prototype.html","https://he-eppat.vercel.app/Backlog-IDDS-TN-CMS-Prototype.html")</f>
        <v>https://he-eppat.vercel.app/Backlog-IDDS-TN-CMS-Prototype.html</v>
      </c>
      <c r="G16" s="6" t="s">
        <v>22</v>
      </c>
    </row>
    <row r="17" spans="1:7" x14ac:dyDescent="0.25">
      <c r="A17" s="5" t="s">
        <v>58</v>
      </c>
      <c r="B17" s="5"/>
      <c r="C17" s="5"/>
      <c r="D17" s="5"/>
      <c r="E17" s="5"/>
      <c r="F17" s="5"/>
      <c r="G17" s="5"/>
    </row>
    <row r="18" spans="1:7" x14ac:dyDescent="0.25">
      <c r="A18" s="6" t="s">
        <v>59</v>
      </c>
      <c r="B18" s="6" t="s">
        <v>60</v>
      </c>
      <c r="C18" s="6" t="s">
        <v>61</v>
      </c>
      <c r="D18" s="6" t="s">
        <v>62</v>
      </c>
      <c r="E18" s="7" t="s">
        <v>63</v>
      </c>
      <c r="F18" s="8" t="str">
        <f>HYPERLINK("https://he-eppat.vercel.app/Backlog-HE-ORDER-Prototype.html","https://he-eppat.vercel.app/Backlog-HE-ORDER-Prototype.html")</f>
        <v>https://he-eppat.vercel.app/Backlog-HE-ORDER-Prototype.html</v>
      </c>
      <c r="G18" s="6" t="s">
        <v>22</v>
      </c>
    </row>
    <row r="19" spans="1:7" x14ac:dyDescent="0.25">
      <c r="A19" s="6" t="s">
        <v>64</v>
      </c>
      <c r="B19" s="6" t="s">
        <v>60</v>
      </c>
      <c r="C19" s="6" t="s">
        <v>65</v>
      </c>
      <c r="D19" s="6" t="s">
        <v>66</v>
      </c>
      <c r="E19" s="7" t="s">
        <v>67</v>
      </c>
      <c r="F19" s="8" t="str">
        <f>HYPERLINK("https://he-eppat.vercel.app/Backlog-HE-ORDER-Prototype.html","https://he-eppat.vercel.app/Backlog-HE-ORDER-Prototype.html")</f>
        <v>https://he-eppat.vercel.app/Backlog-HE-ORDER-Prototype.html</v>
      </c>
      <c r="G19" s="6" t="s">
        <v>68</v>
      </c>
    </row>
    <row r="20" spans="1:7" x14ac:dyDescent="0.25">
      <c r="A20" s="6" t="s">
        <v>69</v>
      </c>
      <c r="B20" s="6" t="s">
        <v>60</v>
      </c>
      <c r="C20" s="6" t="s">
        <v>70</v>
      </c>
      <c r="D20" s="6" t="s">
        <v>71</v>
      </c>
      <c r="E20" s="7" t="s">
        <v>72</v>
      </c>
      <c r="F20" s="8" t="str">
        <f>HYPERLINK("https://he-eppat.vercel.app/Backlog-HE-ORDER-Prototype.html","https://he-eppat.vercel.app/Backlog-HE-ORDER-Prototype.html")</f>
        <v>https://he-eppat.vercel.app/Backlog-HE-ORDER-Prototype.html</v>
      </c>
      <c r="G20" s="6" t="s">
        <v>27</v>
      </c>
    </row>
    <row r="21" spans="1:7" x14ac:dyDescent="0.25">
      <c r="A21" s="6" t="s">
        <v>73</v>
      </c>
      <c r="B21" s="6" t="s">
        <v>60</v>
      </c>
      <c r="C21" s="6" t="s">
        <v>74</v>
      </c>
      <c r="D21" s="6" t="s">
        <v>75</v>
      </c>
      <c r="E21" s="7" t="s">
        <v>76</v>
      </c>
      <c r="F21" s="8" t="str">
        <f>HYPERLINK("https://he-eppat.vercel.app/Backlog-HE-ORDER-Prototype.html","https://he-eppat.vercel.app/Backlog-HE-ORDER-Prototype.html")</f>
        <v>https://he-eppat.vercel.app/Backlog-HE-ORDER-Prototype.html</v>
      </c>
      <c r="G21" s="6" t="s">
        <v>27</v>
      </c>
    </row>
    <row r="22" spans="1:7" x14ac:dyDescent="0.25">
      <c r="A22" s="6" t="s">
        <v>77</v>
      </c>
      <c r="B22" s="6" t="s">
        <v>60</v>
      </c>
      <c r="C22" s="6" t="s">
        <v>78</v>
      </c>
      <c r="D22" s="6" t="s">
        <v>79</v>
      </c>
      <c r="E22" s="7" t="s">
        <v>80</v>
      </c>
      <c r="F22" s="8" t="str">
        <f>HYPERLINK("https://he-eppat.vercel.app/Backlog-HE-ORDER-Prototype.html","https://he-eppat.vercel.app/Backlog-HE-ORDER-Prototype.html")</f>
        <v>https://he-eppat.vercel.app/Backlog-HE-ORDER-Prototype.html</v>
      </c>
      <c r="G22" s="6" t="s">
        <v>81</v>
      </c>
    </row>
    <row r="23" spans="1:7" x14ac:dyDescent="0.25">
      <c r="A23" s="6" t="s">
        <v>82</v>
      </c>
      <c r="B23" s="6" t="s">
        <v>60</v>
      </c>
      <c r="C23" s="6" t="s">
        <v>83</v>
      </c>
      <c r="D23" s="6" t="s">
        <v>84</v>
      </c>
      <c r="E23" s="7" t="s">
        <v>85</v>
      </c>
      <c r="F23" s="8" t="str">
        <f>HYPERLINK("https://he-eppat.vercel.app/Backlog-HE-ORDER-Prototype.html","https://he-eppat.vercel.app/Backlog-HE-ORDER-Prototype.html")</f>
        <v>https://he-eppat.vercel.app/Backlog-HE-ORDER-Prototype.html</v>
      </c>
      <c r="G23" s="6" t="s">
        <v>86</v>
      </c>
    </row>
    <row r="24" spans="1:7" x14ac:dyDescent="0.25">
      <c r="A24" s="6" t="s">
        <v>87</v>
      </c>
      <c r="B24" s="6" t="s">
        <v>60</v>
      </c>
      <c r="C24" s="6" t="s">
        <v>88</v>
      </c>
      <c r="D24" s="6" t="s">
        <v>89</v>
      </c>
      <c r="E24" s="7" t="s">
        <v>90</v>
      </c>
      <c r="F24" s="8" t="str">
        <f>HYPERLINK("https://he-eppat.vercel.app/Backlog-HE-ORDER-Prototype.html","https://he-eppat.vercel.app/Backlog-HE-ORDER-Prototype.html")</f>
        <v>https://he-eppat.vercel.app/Backlog-HE-ORDER-Prototype.html</v>
      </c>
      <c r="G24" s="6" t="s">
        <v>91</v>
      </c>
    </row>
    <row r="25" spans="1:7" x14ac:dyDescent="0.25">
      <c r="A25" s="6" t="s">
        <v>92</v>
      </c>
      <c r="B25" s="6" t="s">
        <v>60</v>
      </c>
      <c r="C25" s="6" t="s">
        <v>93</v>
      </c>
      <c r="D25" s="6" t="s">
        <v>94</v>
      </c>
      <c r="E25" s="7" t="s">
        <v>95</v>
      </c>
      <c r="F25" s="8" t="str">
        <f>HYPERLINK("https://he-eppat.vercel.app/Backlog-HE-ORDER-Prototype.html","https://he-eppat.vercel.app/Backlog-HE-ORDER-Prototype.html")</f>
        <v>https://he-eppat.vercel.app/Backlog-HE-ORDER-Prototype.html</v>
      </c>
      <c r="G25" s="6" t="s">
        <v>96</v>
      </c>
    </row>
    <row r="26" spans="1:7" x14ac:dyDescent="0.25">
      <c r="A26" s="6" t="s">
        <v>97</v>
      </c>
      <c r="B26" s="6" t="s">
        <v>60</v>
      </c>
      <c r="C26" s="6" t="s">
        <v>98</v>
      </c>
      <c r="D26" s="6" t="s">
        <v>99</v>
      </c>
      <c r="E26" s="7" t="s">
        <v>100</v>
      </c>
      <c r="F26" s="8" t="str">
        <f>HYPERLINK("https://he-eppat.vercel.app/Backlog-HE-ORDER-Prototype.html","https://he-eppat.vercel.app/Backlog-HE-ORDER-Prototype.html")</f>
        <v>https://he-eppat.vercel.app/Backlog-HE-ORDER-Prototype.html</v>
      </c>
      <c r="G26" s="6" t="s">
        <v>101</v>
      </c>
    </row>
    <row r="27" spans="1:7" x14ac:dyDescent="0.25">
      <c r="A27" s="6" t="s">
        <v>102</v>
      </c>
      <c r="B27" s="6" t="s">
        <v>60</v>
      </c>
      <c r="C27" s="6" t="s">
        <v>103</v>
      </c>
      <c r="D27" s="6" t="s">
        <v>104</v>
      </c>
      <c r="E27" s="7" t="s">
        <v>105</v>
      </c>
      <c r="F27" s="8" t="str">
        <f>HYPERLINK("https://he-eppat.vercel.app/Backlog-IDDS-TN-MASUK-Prototype.html","https://he-eppat.vercel.app/Backlog-IDDS-TN-MASUK-Prototype.html")</f>
        <v>https://he-eppat.vercel.app/Backlog-IDDS-TN-MASUK-Prototype.html</v>
      </c>
      <c r="G27" s="6" t="s">
        <v>27</v>
      </c>
    </row>
    <row r="28" spans="1:7" x14ac:dyDescent="0.25">
      <c r="A28" s="6" t="s">
        <v>106</v>
      </c>
      <c r="B28" s="6" t="s">
        <v>60</v>
      </c>
      <c r="C28" s="6" t="s">
        <v>107</v>
      </c>
      <c r="D28" s="6" t="s">
        <v>108</v>
      </c>
      <c r="E28" s="7" t="s">
        <v>109</v>
      </c>
      <c r="F28" s="8" t="str">
        <f>HYPERLINK("https://he-eppat.vercel.app/Backlog-IDDS-TN-EPPAT-Prototype.html","https://he-eppat.vercel.app/Backlog-IDDS-TN-EPPAT-Prototype.html")</f>
        <v>https://he-eppat.vercel.app/Backlog-IDDS-TN-EPPAT-Prototype.html</v>
      </c>
      <c r="G28" s="6" t="s">
        <v>110</v>
      </c>
    </row>
    <row r="29" spans="1:7" x14ac:dyDescent="0.25">
      <c r="A29" s="6" t="s">
        <v>111</v>
      </c>
      <c r="B29" s="6" t="s">
        <v>60</v>
      </c>
      <c r="C29" s="6" t="s">
        <v>112</v>
      </c>
      <c r="D29" s="6" t="s">
        <v>113</v>
      </c>
      <c r="E29" s="7" t="s">
        <v>114</v>
      </c>
      <c r="F29" s="8" t="str">
        <f>HYPERLINK("https://he-eppat.vercel.app/Backlog-HE-ORDER-Prototype.html","https://he-eppat.vercel.app/Backlog-HE-ORDER-Prototype.html")</f>
        <v>https://he-eppat.vercel.app/Backlog-HE-ORDER-Prototype.html</v>
      </c>
      <c r="G29" s="6" t="s">
        <v>27</v>
      </c>
    </row>
    <row r="30" spans="1:7" x14ac:dyDescent="0.25">
      <c r="A30" s="5" t="s">
        <v>115</v>
      </c>
      <c r="B30" s="5"/>
      <c r="C30" s="5"/>
      <c r="D30" s="5"/>
      <c r="E30" s="5"/>
      <c r="F30" s="5"/>
      <c r="G30" s="5"/>
    </row>
    <row r="31" spans="1:7" x14ac:dyDescent="0.25">
      <c r="A31" s="6" t="s">
        <v>116</v>
      </c>
      <c r="B31" s="6" t="s">
        <v>117</v>
      </c>
      <c r="C31" s="6" t="s">
        <v>118</v>
      </c>
      <c r="D31" s="6" t="s">
        <v>119</v>
      </c>
      <c r="E31" s="7" t="s">
        <v>120</v>
      </c>
      <c r="F31" s="8" t="str">
        <f>HYPERLINK("https://he-eppat.vercel.app/Backlog-HE-ORDER-Prototype.html","https://he-eppat.vercel.app/Backlog-HE-ORDER-Prototype.html")</f>
        <v>https://he-eppat.vercel.app/Backlog-HE-ORDER-Prototype.html</v>
      </c>
      <c r="G31" s="6" t="s">
        <v>121</v>
      </c>
    </row>
    <row r="32" spans="1:7" x14ac:dyDescent="0.25">
      <c r="A32" s="6" t="s">
        <v>122</v>
      </c>
      <c r="B32" s="6" t="s">
        <v>117</v>
      </c>
      <c r="C32" s="6" t="s">
        <v>123</v>
      </c>
      <c r="D32" s="6" t="s">
        <v>124</v>
      </c>
      <c r="E32" s="7" t="s">
        <v>125</v>
      </c>
      <c r="F32" s="8" t="str">
        <f>HYPERLINK("https://he-eppat.vercel.app/Backlog-HE-ORDER-Prototype.html","https://he-eppat.vercel.app/Backlog-HE-ORDER-Prototype.html")</f>
        <v>https://he-eppat.vercel.app/Backlog-HE-ORDER-Prototype.html</v>
      </c>
      <c r="G32" s="6" t="s">
        <v>121</v>
      </c>
    </row>
    <row r="33" spans="1:7" x14ac:dyDescent="0.25">
      <c r="A33" s="6" t="s">
        <v>126</v>
      </c>
      <c r="B33" s="6" t="s">
        <v>117</v>
      </c>
      <c r="C33" s="6" t="s">
        <v>127</v>
      </c>
      <c r="D33" s="6" t="s">
        <v>128</v>
      </c>
      <c r="E33" s="7" t="s">
        <v>129</v>
      </c>
      <c r="F33" s="8" t="str">
        <f>HYPERLINK("https://he-eppat.vercel.app/Backlog-IDDS-TN-MASUK-Prototype.html","https://he-eppat.vercel.app/Backlog-IDDS-TN-MASUK-Prototype.html")</f>
        <v>https://he-eppat.vercel.app/Backlog-IDDS-TN-MASUK-Prototype.html</v>
      </c>
      <c r="G33" s="6" t="s">
        <v>130</v>
      </c>
    </row>
    <row r="34" spans="1:7" x14ac:dyDescent="0.25">
      <c r="A34" s="6" t="s">
        <v>131</v>
      </c>
      <c r="B34" s="6" t="s">
        <v>117</v>
      </c>
      <c r="C34" s="6" t="s">
        <v>132</v>
      </c>
      <c r="D34" s="6" t="s">
        <v>133</v>
      </c>
      <c r="E34" s="7" t="s">
        <v>134</v>
      </c>
      <c r="F34" s="8" t="str">
        <f>HYPERLINK("https://he-eppat.vercel.app/Backlog-HE-ORDER-Prototype.html","https://he-eppat.vercel.app/Backlog-HE-ORDER-Prototype.html")</f>
        <v>https://he-eppat.vercel.app/Backlog-HE-ORDER-Prototype.html</v>
      </c>
      <c r="G34" s="6" t="s">
        <v>135</v>
      </c>
    </row>
    <row r="35" spans="1:7" x14ac:dyDescent="0.25">
      <c r="A35" s="6" t="s">
        <v>136</v>
      </c>
      <c r="B35" s="6" t="s">
        <v>117</v>
      </c>
      <c r="C35" s="6" t="s">
        <v>137</v>
      </c>
      <c r="D35" s="6" t="s">
        <v>138</v>
      </c>
      <c r="E35" s="7" t="s">
        <v>139</v>
      </c>
      <c r="F35" s="8" t="str">
        <f>HYPERLINK("https://he-eppat.vercel.app/Backlog-HE-ORDER-Prototype.html","https://he-eppat.vercel.app/Backlog-HE-ORDER-Prototype.html")</f>
        <v>https://he-eppat.vercel.app/Backlog-HE-ORDER-Prototype.html</v>
      </c>
      <c r="G35" s="6" t="s">
        <v>27</v>
      </c>
    </row>
    <row r="36" spans="1:7" x14ac:dyDescent="0.25">
      <c r="A36" s="6" t="s">
        <v>140</v>
      </c>
      <c r="B36" s="6" t="s">
        <v>117</v>
      </c>
      <c r="C36" s="6" t="s">
        <v>141</v>
      </c>
      <c r="D36" s="6" t="s">
        <v>142</v>
      </c>
      <c r="E36" s="7" t="s">
        <v>143</v>
      </c>
      <c r="F36" s="8" t="str">
        <f>HYPERLINK("https://he-eppat.vercel.app/Backlog-IDDS-TN-MASUK-Prototype.html","https://he-eppat.vercel.app/Backlog-IDDS-TN-MASUK-Prototype.html")</f>
        <v>https://he-eppat.vercel.app/Backlog-IDDS-TN-MASUK-Prototype.html</v>
      </c>
      <c r="G36" s="6" t="s">
        <v>144</v>
      </c>
    </row>
    <row r="37" spans="1:7" x14ac:dyDescent="0.25">
      <c r="A37" s="6" t="s">
        <v>145</v>
      </c>
      <c r="B37" s="6" t="s">
        <v>117</v>
      </c>
      <c r="C37" s="6" t="s">
        <v>146</v>
      </c>
      <c r="D37" s="6" t="s">
        <v>147</v>
      </c>
      <c r="E37" s="7" t="s">
        <v>148</v>
      </c>
      <c r="F37" s="8" t="str">
        <f>HYPERLINK("https://he-eppat.vercel.app/Backlog-HE-ORDER-Prototype.html","https://he-eppat.vercel.app/Backlog-HE-ORDER-Prototype.html")</f>
        <v>https://he-eppat.vercel.app/Backlog-HE-ORDER-Prototype.html</v>
      </c>
      <c r="G37" s="6" t="s">
        <v>149</v>
      </c>
    </row>
    <row r="38" spans="1:7" x14ac:dyDescent="0.25">
      <c r="A38" s="6" t="s">
        <v>150</v>
      </c>
      <c r="B38" s="6" t="s">
        <v>117</v>
      </c>
      <c r="C38" s="6" t="s">
        <v>151</v>
      </c>
      <c r="D38" s="6" t="s">
        <v>152</v>
      </c>
      <c r="E38" s="7" t="s">
        <v>153</v>
      </c>
      <c r="F38" s="8" t="str">
        <f>HYPERLINK("https://he-eppat.vercel.app/Backlog-HE-ORDER-Prototype.html","https://he-eppat.vercel.app/Backlog-HE-ORDER-Prototype.html")</f>
        <v>https://he-eppat.vercel.app/Backlog-HE-ORDER-Prototype.html</v>
      </c>
      <c r="G38" s="6" t="s">
        <v>154</v>
      </c>
    </row>
    <row r="39" spans="1:7" x14ac:dyDescent="0.25">
      <c r="A39" s="6" t="s">
        <v>155</v>
      </c>
      <c r="B39" s="6" t="s">
        <v>117</v>
      </c>
      <c r="C39" s="6" t="s">
        <v>156</v>
      </c>
      <c r="D39" s="6" t="s">
        <v>157</v>
      </c>
      <c r="E39" s="7" t="s">
        <v>158</v>
      </c>
      <c r="F39" s="8" t="str">
        <f>HYPERLINK("https://he-eppat.vercel.app/Backlog-IDDS-TN-SYSTEM-Prototype.html","https://he-eppat.vercel.app/Backlog-IDDS-TN-SYSTEM-Prototype.html")</f>
        <v>https://he-eppat.vercel.app/Backlog-IDDS-TN-SYSTEM-Prototype.html</v>
      </c>
      <c r="G39" s="6" t="s">
        <v>159</v>
      </c>
    </row>
    <row r="40" spans="1:7" x14ac:dyDescent="0.25">
      <c r="A40" s="6" t="s">
        <v>160</v>
      </c>
      <c r="B40" s="6" t="s">
        <v>117</v>
      </c>
      <c r="C40" s="6" t="s">
        <v>161</v>
      </c>
      <c r="D40" s="6" t="s">
        <v>162</v>
      </c>
      <c r="E40" s="7" t="s">
        <v>163</v>
      </c>
      <c r="F40" s="8" t="str">
        <f>HYPERLINK("https://he-eppat.vercel.app/Backlog-HE-ORDER-Prototype.html","https://he-eppat.vercel.app/Backlog-HE-ORDER-Prototype.html")</f>
        <v>https://he-eppat.vercel.app/Backlog-HE-ORDER-Prototype.html</v>
      </c>
      <c r="G40" s="6" t="s">
        <v>164</v>
      </c>
    </row>
    <row r="41" spans="1:7" x14ac:dyDescent="0.25">
      <c r="A41" s="6" t="s">
        <v>165</v>
      </c>
      <c r="B41" s="6" t="s">
        <v>117</v>
      </c>
      <c r="C41" s="6" t="s">
        <v>166</v>
      </c>
      <c r="D41" s="6" t="s">
        <v>167</v>
      </c>
      <c r="E41" s="7" t="s">
        <v>168</v>
      </c>
      <c r="F41" s="8" t="str">
        <f>HYPERLINK("https://he-eppat.vercel.app/Backlog-IDDS-TN-EPPAT-Prototype.html","https://he-eppat.vercel.app/Backlog-IDDS-TN-EPPAT-Prototype.html")</f>
        <v>https://he-eppat.vercel.app/Backlog-IDDS-TN-EPPAT-Prototype.html</v>
      </c>
      <c r="G41" s="6" t="s">
        <v>169</v>
      </c>
    </row>
    <row r="42" spans="1:7" x14ac:dyDescent="0.25">
      <c r="A42" s="6" t="s">
        <v>170</v>
      </c>
      <c r="B42" s="6" t="s">
        <v>117</v>
      </c>
      <c r="C42" s="6" t="s">
        <v>171</v>
      </c>
      <c r="D42" s="6" t="s">
        <v>172</v>
      </c>
      <c r="E42" s="7" t="s">
        <v>173</v>
      </c>
      <c r="F42" s="8" t="str">
        <f>HYPERLINK("https://he-eppat.vercel.app/Backlog-IDDS-TN-MASUK-Prototype.html","https://he-eppat.vercel.app/Backlog-IDDS-TN-MASUK-Prototype.html")</f>
        <v>https://he-eppat.vercel.app/Backlog-IDDS-TN-MASUK-Prototype.html</v>
      </c>
      <c r="G42" s="6" t="s">
        <v>174</v>
      </c>
    </row>
    <row r="43" spans="1:7" x14ac:dyDescent="0.25">
      <c r="A43" s="6" t="s">
        <v>175</v>
      </c>
      <c r="B43" s="6" t="s">
        <v>117</v>
      </c>
      <c r="C43" s="6" t="s">
        <v>176</v>
      </c>
      <c r="D43" s="6" t="s">
        <v>177</v>
      </c>
      <c r="E43" s="7" t="s">
        <v>178</v>
      </c>
      <c r="F43" s="8" t="str">
        <f>HYPERLINK("https://he-eppat.vercel.app/Backlog-HE-ORDER-Prototype.html","https://he-eppat.vercel.app/Backlog-HE-ORDER-Prototype.html")</f>
        <v>https://he-eppat.vercel.app/Backlog-HE-ORDER-Prototype.html</v>
      </c>
      <c r="G43" s="6" t="s">
        <v>179</v>
      </c>
    </row>
    <row r="44" spans="1:7" x14ac:dyDescent="0.25">
      <c r="A44" s="6" t="s">
        <v>180</v>
      </c>
      <c r="B44" s="6" t="s">
        <v>117</v>
      </c>
      <c r="C44" s="6" t="s">
        <v>181</v>
      </c>
      <c r="D44" s="6" t="s">
        <v>182</v>
      </c>
      <c r="E44" s="7" t="s">
        <v>183</v>
      </c>
      <c r="F44" s="8" t="str">
        <f>HYPERLINK("https://he-eppat.vercel.app/Backlog-HE-ORDER-Prototype.html","https://he-eppat.vercel.app/Backlog-HE-ORDER-Prototype.html")</f>
        <v>https://he-eppat.vercel.app/Backlog-HE-ORDER-Prototype.html</v>
      </c>
      <c r="G44" s="6" t="s">
        <v>184</v>
      </c>
    </row>
    <row r="45" spans="1:7" x14ac:dyDescent="0.25">
      <c r="A45" s="6" t="s">
        <v>185</v>
      </c>
      <c r="B45" s="6" t="s">
        <v>117</v>
      </c>
      <c r="C45" s="6" t="s">
        <v>186</v>
      </c>
      <c r="D45" s="6" t="s">
        <v>187</v>
      </c>
      <c r="E45" s="7" t="s">
        <v>188</v>
      </c>
      <c r="F45" s="8" t="str">
        <f>HYPERLINK("https://he-eppat.vercel.app/Backlog-HE-ORDER-Prototype.html","https://he-eppat.vercel.app/Backlog-HE-ORDER-Prototype.html")</f>
        <v>https://he-eppat.vercel.app/Backlog-HE-ORDER-Prototype.html</v>
      </c>
      <c r="G45" s="6" t="s">
        <v>189</v>
      </c>
    </row>
    <row r="46" spans="1:7" x14ac:dyDescent="0.25">
      <c r="A46" s="6" t="s">
        <v>190</v>
      </c>
      <c r="B46" s="6" t="s">
        <v>117</v>
      </c>
      <c r="C46" s="6" t="s">
        <v>191</v>
      </c>
      <c r="D46" s="6" t="s">
        <v>192</v>
      </c>
      <c r="E46" s="7" t="s">
        <v>193</v>
      </c>
      <c r="F46" s="8" t="str">
        <f>HYPERLINK("https://he-eppat.vercel.app/Backlog-HE-ORDER-Prototype.html","https://he-eppat.vercel.app/Backlog-HE-ORDER-Prototype.html")</f>
        <v>https://he-eppat.vercel.app/Backlog-HE-ORDER-Prototype.html</v>
      </c>
      <c r="G46" s="6" t="s">
        <v>194</v>
      </c>
    </row>
    <row r="47" spans="1:7" x14ac:dyDescent="0.25">
      <c r="A47" s="6" t="s">
        <v>195</v>
      </c>
      <c r="B47" s="6" t="s">
        <v>117</v>
      </c>
      <c r="C47" s="6" t="s">
        <v>196</v>
      </c>
      <c r="D47" s="6" t="s">
        <v>197</v>
      </c>
      <c r="E47" s="7" t="s">
        <v>198</v>
      </c>
      <c r="F47" s="8" t="str">
        <f>HYPERLINK("https://he-eppat.vercel.app/Backlog-HE-ORDER-Prototype.html","https://he-eppat.vercel.app/Backlog-HE-ORDER-Prototype.html")</f>
        <v>https://he-eppat.vercel.app/Backlog-HE-ORDER-Prototype.html</v>
      </c>
      <c r="G47" s="6" t="s">
        <v>199</v>
      </c>
    </row>
    <row r="48" spans="1:7" x14ac:dyDescent="0.25">
      <c r="A48" s="6" t="s">
        <v>200</v>
      </c>
      <c r="B48" s="6" t="s">
        <v>117</v>
      </c>
      <c r="C48" s="6" t="s">
        <v>201</v>
      </c>
      <c r="D48" s="6" t="s">
        <v>202</v>
      </c>
      <c r="E48" s="7" t="s">
        <v>203</v>
      </c>
      <c r="F48" s="8" t="str">
        <f>HYPERLINK("https://he-eppat.vercel.app/Backlog-HE-ORDER-Prototype.html","https://he-eppat.vercel.app/Backlog-HE-ORDER-Prototype.html")</f>
        <v>https://he-eppat.vercel.app/Backlog-HE-ORDER-Prototype.html</v>
      </c>
      <c r="G48" s="6" t="s">
        <v>204</v>
      </c>
    </row>
    <row r="49" spans="1:7" x14ac:dyDescent="0.25">
      <c r="A49" s="6" t="s">
        <v>205</v>
      </c>
      <c r="B49" s="6" t="s">
        <v>117</v>
      </c>
      <c r="C49" s="6" t="s">
        <v>206</v>
      </c>
      <c r="D49" s="6" t="s">
        <v>207</v>
      </c>
      <c r="E49" s="7" t="s">
        <v>208</v>
      </c>
      <c r="F49" s="8" t="str">
        <f>HYPERLINK("https://he-eppat.vercel.app/Backlog-HE-ORDER-Prototype.html","https://he-eppat.vercel.app/Backlog-HE-ORDER-Prototype.html")</f>
        <v>https://he-eppat.vercel.app/Backlog-HE-ORDER-Prototype.html</v>
      </c>
      <c r="G49" s="6" t="s">
        <v>209</v>
      </c>
    </row>
    <row r="50" spans="1:7" x14ac:dyDescent="0.25">
      <c r="A50" s="6" t="s">
        <v>210</v>
      </c>
      <c r="B50" s="6" t="s">
        <v>117</v>
      </c>
      <c r="C50" s="6" t="s">
        <v>211</v>
      </c>
      <c r="D50" s="6" t="s">
        <v>212</v>
      </c>
      <c r="E50" s="7" t="s">
        <v>213</v>
      </c>
      <c r="F50" s="8" t="str">
        <f>HYPERLINK("https://he-eppat.vercel.app/Backlog-HE-ORDER-Prototype.html","https://he-eppat.vercel.app/Backlog-HE-ORDER-Prototype.html")</f>
        <v>https://he-eppat.vercel.app/Backlog-HE-ORDER-Prototype.html</v>
      </c>
      <c r="G50" s="6" t="s">
        <v>214</v>
      </c>
    </row>
    <row r="51" spans="1:7" x14ac:dyDescent="0.25">
      <c r="A51" s="6" t="s">
        <v>215</v>
      </c>
      <c r="B51" s="6" t="s">
        <v>117</v>
      </c>
      <c r="C51" s="6" t="s">
        <v>216</v>
      </c>
      <c r="D51" s="6" t="s">
        <v>217</v>
      </c>
      <c r="E51" s="7" t="s">
        <v>218</v>
      </c>
      <c r="F51" s="8" t="str">
        <f>HYPERLINK("https://he-eppat.vercel.app/Backlog-HE-ORDER-Prototype.html","https://he-eppat.vercel.app/Backlog-HE-ORDER-Prototype.html")</f>
        <v>https://he-eppat.vercel.app/Backlog-HE-ORDER-Prototype.html</v>
      </c>
      <c r="G51" s="6" t="s">
        <v>219</v>
      </c>
    </row>
    <row r="52" spans="1:7" x14ac:dyDescent="0.25">
      <c r="A52" s="6" t="s">
        <v>220</v>
      </c>
      <c r="B52" s="6" t="s">
        <v>117</v>
      </c>
      <c r="C52" s="6" t="s">
        <v>221</v>
      </c>
      <c r="D52" s="6" t="s">
        <v>222</v>
      </c>
      <c r="E52" s="7" t="s">
        <v>223</v>
      </c>
      <c r="F52" s="8" t="str">
        <f>HYPERLINK("https://he-eppat.vercel.app/Backlog-HE-USER-Prototype.html","https://he-eppat.vercel.app/Backlog-HE-USER-Prototype.html")</f>
        <v>https://he-eppat.vercel.app/Backlog-HE-USER-Prototype.html</v>
      </c>
      <c r="G52" s="6" t="s">
        <v>224</v>
      </c>
    </row>
    <row r="53" spans="1:7" x14ac:dyDescent="0.25">
      <c r="A53" s="6" t="s">
        <v>225</v>
      </c>
      <c r="B53" s="6" t="s">
        <v>117</v>
      </c>
      <c r="C53" s="6" t="s">
        <v>226</v>
      </c>
      <c r="D53" s="6" t="s">
        <v>227</v>
      </c>
      <c r="E53" s="7" t="s">
        <v>228</v>
      </c>
      <c r="F53" s="8" t="str">
        <f>HYPERLINK("https://he-eppat.vercel.app/Backlog-HE-ORDER-Prototype.html","https://he-eppat.vercel.app/Backlog-HE-ORDER-Prototype.html")</f>
        <v>https://he-eppat.vercel.app/Backlog-HE-ORDER-Prototype.html</v>
      </c>
      <c r="G53" s="6" t="s">
        <v>91</v>
      </c>
    </row>
    <row r="54" spans="1:7" x14ac:dyDescent="0.25">
      <c r="A54" s="5" t="s">
        <v>229</v>
      </c>
      <c r="B54" s="5"/>
      <c r="C54" s="5"/>
      <c r="D54" s="5"/>
      <c r="E54" s="5"/>
      <c r="F54" s="5"/>
      <c r="G54" s="5"/>
    </row>
    <row r="55" spans="1:7" x14ac:dyDescent="0.25">
      <c r="A55" s="6" t="s">
        <v>230</v>
      </c>
      <c r="B55" s="6" t="s">
        <v>231</v>
      </c>
      <c r="C55" s="6" t="s">
        <v>232</v>
      </c>
      <c r="D55" s="6" t="s">
        <v>233</v>
      </c>
      <c r="E55" s="7" t="s">
        <v>234</v>
      </c>
      <c r="F55" s="8" t="str">
        <f>HYPERLINK("https://he-eppat.vercel.app/Backlog-IDDS-TN-MASUK-Prototype.html","https://he-eppat.vercel.app/Backlog-IDDS-TN-MASUK-Prototype.html")</f>
        <v>https://he-eppat.vercel.app/Backlog-IDDS-TN-MASUK-Prototype.html</v>
      </c>
      <c r="G55" s="6" t="s">
        <v>235</v>
      </c>
    </row>
    <row r="56" spans="1:7" x14ac:dyDescent="0.25">
      <c r="A56" s="6" t="s">
        <v>236</v>
      </c>
      <c r="B56" s="6" t="s">
        <v>231</v>
      </c>
      <c r="C56" s="6" t="s">
        <v>237</v>
      </c>
      <c r="D56" s="6" t="s">
        <v>238</v>
      </c>
      <c r="E56" s="7" t="s">
        <v>239</v>
      </c>
      <c r="F56" s="8" t="str">
        <f>HYPERLINK("https://he-eppat.vercel.app/Backlog-IDDS-TN-EPPAT-Prototype.html","https://he-eppat.vercel.app/Backlog-IDDS-TN-EPPAT-Prototype.html")</f>
        <v>https://he-eppat.vercel.app/Backlog-IDDS-TN-EPPAT-Prototype.html</v>
      </c>
      <c r="G56" s="6" t="s">
        <v>240</v>
      </c>
    </row>
    <row r="57" spans="1:7" x14ac:dyDescent="0.25">
      <c r="A57" s="6" t="s">
        <v>241</v>
      </c>
      <c r="B57" s="6" t="s">
        <v>231</v>
      </c>
      <c r="C57" s="6" t="s">
        <v>242</v>
      </c>
      <c r="D57" s="6" t="s">
        <v>243</v>
      </c>
      <c r="E57" s="7" t="s">
        <v>244</v>
      </c>
      <c r="F57" s="8" t="str">
        <f>HYPERLINK("https://he-eppat.vercel.app/Backlog-IDDS-TN-MASUK-Prototype.html","https://he-eppat.vercel.app/Backlog-IDDS-TN-MASUK-Prototype.html")</f>
        <v>https://he-eppat.vercel.app/Backlog-IDDS-TN-MASUK-Prototype.html</v>
      </c>
      <c r="G57" s="6" t="s">
        <v>245</v>
      </c>
    </row>
    <row r="58" spans="1:7" x14ac:dyDescent="0.25">
      <c r="A58" s="6" t="s">
        <v>246</v>
      </c>
      <c r="B58" s="6" t="s">
        <v>231</v>
      </c>
      <c r="C58" s="6" t="s">
        <v>247</v>
      </c>
      <c r="D58" s="6" t="s">
        <v>248</v>
      </c>
      <c r="E58" s="7" t="s">
        <v>249</v>
      </c>
      <c r="F58" s="8" t="str">
        <f>HYPERLINK("https://he-eppat.vercel.app/Backlog-HE-ORDER-Prototype.html","https://he-eppat.vercel.app/Backlog-HE-ORDER-Prototype.html")</f>
        <v>https://he-eppat.vercel.app/Backlog-HE-ORDER-Prototype.html</v>
      </c>
      <c r="G58" s="6" t="s">
        <v>250</v>
      </c>
    </row>
    <row r="59" spans="1:7" x14ac:dyDescent="0.25">
      <c r="A59" s="6" t="s">
        <v>251</v>
      </c>
      <c r="B59" s="6" t="s">
        <v>231</v>
      </c>
      <c r="C59" s="6" t="s">
        <v>252</v>
      </c>
      <c r="D59" s="6" t="s">
        <v>253</v>
      </c>
      <c r="E59" s="7" t="s">
        <v>254</v>
      </c>
      <c r="F59" s="8" t="str">
        <f>HYPERLINK("https://he-eppat.vercel.app/Backlog-IDDS-TN-SYSTEM-Prototype.html","https://he-eppat.vercel.app/Backlog-IDDS-TN-SYSTEM-Prototype.html")</f>
        <v>https://he-eppat.vercel.app/Backlog-IDDS-TN-SYSTEM-Prototype.html</v>
      </c>
      <c r="G59" s="6" t="s">
        <v>255</v>
      </c>
    </row>
    <row r="60" spans="1:7" x14ac:dyDescent="0.25">
      <c r="A60" s="6" t="s">
        <v>256</v>
      </c>
      <c r="B60" s="6" t="s">
        <v>231</v>
      </c>
      <c r="C60" s="6" t="s">
        <v>257</v>
      </c>
      <c r="D60" s="6" t="s">
        <v>258</v>
      </c>
      <c r="E60" s="7" t="s">
        <v>259</v>
      </c>
      <c r="F60" s="8" t="str">
        <f>HYPERLINK("https://he-eppat.vercel.app/Backlog-IDDS-TN-CMS-Prototype.html","https://he-eppat.vercel.app/Backlog-IDDS-TN-CMS-Prototype.html")</f>
        <v>https://he-eppat.vercel.app/Backlog-IDDS-TN-CMS-Prototype.html</v>
      </c>
      <c r="G60" s="6" t="s">
        <v>260</v>
      </c>
    </row>
    <row r="61" spans="1:7" x14ac:dyDescent="0.25">
      <c r="A61" s="6" t="s">
        <v>261</v>
      </c>
      <c r="B61" s="6" t="s">
        <v>231</v>
      </c>
      <c r="C61" s="6" t="s">
        <v>262</v>
      </c>
      <c r="D61" s="6" t="s">
        <v>263</v>
      </c>
      <c r="E61" s="7" t="s">
        <v>264</v>
      </c>
      <c r="F61" s="8" t="str">
        <f>HYPERLINK("https://he-eppat.vercel.app/Backlog-IDDS-TN-EPPAT-Prototype.html","https://he-eppat.vercel.app/Backlog-IDDS-TN-EPPAT-Prototype.html")</f>
        <v>https://he-eppat.vercel.app/Backlog-IDDS-TN-EPPAT-Prototype.html</v>
      </c>
      <c r="G61" s="6" t="s">
        <v>265</v>
      </c>
    </row>
    <row r="62" spans="1:7" x14ac:dyDescent="0.25">
      <c r="A62" s="6" t="s">
        <v>266</v>
      </c>
      <c r="B62" s="6" t="s">
        <v>231</v>
      </c>
      <c r="C62" s="6" t="s">
        <v>267</v>
      </c>
      <c r="D62" s="6" t="s">
        <v>268</v>
      </c>
      <c r="E62" s="7" t="s">
        <v>269</v>
      </c>
      <c r="F62" s="8" t="str">
        <f>HYPERLINK("https://he-eppat.vercel.app/Backlog-IDDS-TN-MASUK-Prototype.html","https://he-eppat.vercel.app/Backlog-IDDS-TN-MASUK-Prototype.html")</f>
        <v>https://he-eppat.vercel.app/Backlog-IDDS-TN-MASUK-Prototype.html</v>
      </c>
      <c r="G62" s="6" t="s">
        <v>270</v>
      </c>
    </row>
    <row r="63" spans="1:7" x14ac:dyDescent="0.25">
      <c r="A63" s="6" t="s">
        <v>271</v>
      </c>
      <c r="B63" s="6" t="s">
        <v>231</v>
      </c>
      <c r="C63" s="6" t="s">
        <v>272</v>
      </c>
      <c r="D63" s="6" t="s">
        <v>273</v>
      </c>
      <c r="E63" s="7" t="s">
        <v>274</v>
      </c>
      <c r="F63" s="8" t="str">
        <f>HYPERLINK("https://he-eppat.vercel.app/Backlog-IDDS-TN-EPPAT-Prototype.html","https://he-eppat.vercel.app/Backlog-IDDS-TN-EPPAT-Prototype.html")</f>
        <v>https://he-eppat.vercel.app/Backlog-IDDS-TN-EPPAT-Prototype.html</v>
      </c>
      <c r="G63" s="6" t="s">
        <v>275</v>
      </c>
    </row>
    <row r="64" spans="1:7" x14ac:dyDescent="0.25">
      <c r="A64" s="6" t="s">
        <v>276</v>
      </c>
      <c r="B64" s="6" t="s">
        <v>231</v>
      </c>
      <c r="C64" s="6" t="s">
        <v>277</v>
      </c>
      <c r="D64" s="6" t="s">
        <v>278</v>
      </c>
      <c r="E64" s="7" t="s">
        <v>279</v>
      </c>
      <c r="F64" s="8" t="str">
        <f>HYPERLINK("https://he-eppat.vercel.app/Backlog-HE-ORDER-Prototype.html","https://he-eppat.vercel.app/Backlog-HE-ORDER-Prototype.html")</f>
        <v>https://he-eppat.vercel.app/Backlog-HE-ORDER-Prototype.html</v>
      </c>
      <c r="G64" s="6" t="s">
        <v>280</v>
      </c>
    </row>
    <row r="65" spans="1:7" x14ac:dyDescent="0.25">
      <c r="A65" s="6" t="s">
        <v>281</v>
      </c>
      <c r="B65" s="6" t="s">
        <v>231</v>
      </c>
      <c r="C65" s="6" t="s">
        <v>282</v>
      </c>
      <c r="D65" s="6" t="s">
        <v>283</v>
      </c>
      <c r="E65" s="7" t="s">
        <v>284</v>
      </c>
      <c r="F65" s="8" t="str">
        <f>HYPERLINK("https://he-eppat.vercel.app/Backlog-HE-ORDER-Prototype.html","https://he-eppat.vercel.app/Backlog-HE-ORDER-Prototype.html")</f>
        <v>https://he-eppat.vercel.app/Backlog-HE-ORDER-Prototype.html</v>
      </c>
      <c r="G65" s="6" t="s">
        <v>285</v>
      </c>
    </row>
    <row r="66" spans="1:7" x14ac:dyDescent="0.25">
      <c r="A66" s="6" t="s">
        <v>286</v>
      </c>
      <c r="B66" s="6" t="s">
        <v>231</v>
      </c>
      <c r="C66" s="6" t="s">
        <v>287</v>
      </c>
      <c r="D66" s="6" t="s">
        <v>288</v>
      </c>
      <c r="E66" s="7" t="s">
        <v>289</v>
      </c>
      <c r="F66" s="8" t="str">
        <f>HYPERLINK("https://he-eppat.vercel.app/Backlog-HE-USER-Prototype.html","https://he-eppat.vercel.app/Backlog-HE-USER-Prototype.html")</f>
        <v>https://he-eppat.vercel.app/Backlog-HE-USER-Prototype.html</v>
      </c>
      <c r="G66" s="6" t="s">
        <v>290</v>
      </c>
    </row>
    <row r="67" spans="1:7" x14ac:dyDescent="0.25">
      <c r="A67" s="5" t="s">
        <v>291</v>
      </c>
      <c r="B67" s="5"/>
      <c r="C67" s="5"/>
      <c r="D67" s="5"/>
      <c r="E67" s="5"/>
      <c r="F67" s="5"/>
      <c r="G67" s="5"/>
    </row>
    <row r="68" spans="1:7" x14ac:dyDescent="0.25">
      <c r="A68" s="6" t="s">
        <v>292</v>
      </c>
      <c r="B68" s="6" t="s">
        <v>293</v>
      </c>
      <c r="C68" s="6" t="s">
        <v>294</v>
      </c>
      <c r="D68" s="6" t="s">
        <v>295</v>
      </c>
      <c r="E68" s="7" t="s">
        <v>296</v>
      </c>
      <c r="F68" s="8" t="str">
        <f>HYPERLINK("https://he-eppat.vercel.app/Backlog-IDDS-TN-MASUK-Prototype.html","https://he-eppat.vercel.app/Backlog-IDDS-TN-MASUK-Prototype.html")</f>
        <v>https://he-eppat.vercel.app/Backlog-IDDS-TN-MASUK-Prototype.html</v>
      </c>
      <c r="G68" s="6" t="s">
        <v>297</v>
      </c>
    </row>
    <row r="69" spans="1:7" x14ac:dyDescent="0.25">
      <c r="A69" s="6" t="s">
        <v>298</v>
      </c>
      <c r="B69" s="6" t="s">
        <v>293</v>
      </c>
      <c r="C69" s="6" t="s">
        <v>299</v>
      </c>
      <c r="D69" s="6" t="s">
        <v>300</v>
      </c>
      <c r="E69" s="7" t="s">
        <v>301</v>
      </c>
      <c r="F69" s="8" t="str">
        <f>HYPERLINK("https://he-eppat.vercel.app/Backlog-HE-ORDER-Prototype.html","https://he-eppat.vercel.app/Backlog-HE-ORDER-Prototype.html")</f>
        <v>https://he-eppat.vercel.app/Backlog-HE-ORDER-Prototype.html</v>
      </c>
      <c r="G69" s="6" t="s">
        <v>27</v>
      </c>
    </row>
    <row r="70" spans="1:7" x14ac:dyDescent="0.25">
      <c r="A70" s="6" t="s">
        <v>302</v>
      </c>
      <c r="B70" s="6" t="s">
        <v>293</v>
      </c>
      <c r="C70" s="6" t="s">
        <v>303</v>
      </c>
      <c r="D70" s="6" t="s">
        <v>304</v>
      </c>
      <c r="E70" s="7" t="s">
        <v>305</v>
      </c>
      <c r="F70" s="8" t="str">
        <f>HYPERLINK("https://he-eppat.vercel.app/Backlog-IDDS-TN-SYSTEM-Prototype.html","https://he-eppat.vercel.app/Backlog-IDDS-TN-SYSTEM-Prototype.html")</f>
        <v>https://he-eppat.vercel.app/Backlog-IDDS-TN-SYSTEM-Prototype.html</v>
      </c>
      <c r="G70" s="6" t="s">
        <v>149</v>
      </c>
    </row>
    <row r="71" spans="1:7" x14ac:dyDescent="0.25">
      <c r="A71" s="6" t="s">
        <v>306</v>
      </c>
      <c r="B71" s="6" t="s">
        <v>293</v>
      </c>
      <c r="C71" s="6" t="s">
        <v>307</v>
      </c>
      <c r="D71" s="6" t="s">
        <v>308</v>
      </c>
      <c r="E71" s="7" t="s">
        <v>309</v>
      </c>
      <c r="F71" s="8" t="str">
        <f>HYPERLINK("https://he-eppat.vercel.app/Brand-Mode-EPPAT-IDDS.html","https://he-eppat.vercel.app/Brand-Mode-EPPAT-IDDS.html")</f>
        <v>https://he-eppat.vercel.app/Brand-Mode-EPPAT-IDDS.html</v>
      </c>
      <c r="G71" s="6" t="s">
        <v>27</v>
      </c>
    </row>
    <row r="72" spans="1:7" x14ac:dyDescent="0.25">
      <c r="A72" s="6" t="s">
        <v>310</v>
      </c>
      <c r="B72" s="6" t="s">
        <v>293</v>
      </c>
      <c r="C72" s="6" t="s">
        <v>311</v>
      </c>
      <c r="D72" s="6" t="s">
        <v>312</v>
      </c>
      <c r="E72" s="7" t="s">
        <v>313</v>
      </c>
      <c r="F72" s="8" t="str">
        <f>HYPERLINK("https://he-eppat.vercel.app/Backlog-IDDS-TN-SYSTEM-Prototype.html","https://he-eppat.vercel.app/Backlog-IDDS-TN-SYSTEM-Prototype.html")</f>
        <v>https://he-eppat.vercel.app/Backlog-IDDS-TN-SYSTEM-Prototype.html</v>
      </c>
      <c r="G72" s="6" t="s">
        <v>27</v>
      </c>
    </row>
    <row r="73" spans="1:7" x14ac:dyDescent="0.25">
      <c r="A73" s="6" t="s">
        <v>314</v>
      </c>
      <c r="B73" s="6" t="s">
        <v>293</v>
      </c>
      <c r="C73" s="6" t="s">
        <v>315</v>
      </c>
      <c r="D73" s="6" t="s">
        <v>316</v>
      </c>
      <c r="E73" s="7" t="s">
        <v>317</v>
      </c>
      <c r="F73" s="8" t="str">
        <f>HYPERLINK("https://he-eppat.vercel.app/Backlog-HE-VERIF-Prototype.html","https://he-eppat.vercel.app/Backlog-HE-VERIF-Prototype.html")</f>
        <v>https://he-eppat.vercel.app/Backlog-HE-VERIF-Prototype.html</v>
      </c>
      <c r="G73" s="6" t="s">
        <v>27</v>
      </c>
    </row>
    <row r="74" spans="1:7" x14ac:dyDescent="0.25">
      <c r="A74" s="6" t="s">
        <v>318</v>
      </c>
      <c r="B74" s="6" t="s">
        <v>293</v>
      </c>
      <c r="C74" s="6" t="s">
        <v>319</v>
      </c>
      <c r="D74" s="6" t="s">
        <v>320</v>
      </c>
      <c r="E74" s="7" t="s">
        <v>321</v>
      </c>
      <c r="F74" s="8" t="str">
        <f>HYPERLINK("https://he-eppat.vercel.app/Backlog-HE-ORDER-Prototype.html","https://he-eppat.vercel.app/Backlog-HE-ORDER-Prototype.html")</f>
        <v>https://he-eppat.vercel.app/Backlog-HE-ORDER-Prototype.html</v>
      </c>
      <c r="G74" s="6" t="s">
        <v>322</v>
      </c>
    </row>
    <row r="75" spans="1:7" x14ac:dyDescent="0.25">
      <c r="A75" s="6" t="s">
        <v>323</v>
      </c>
      <c r="B75" s="6" t="s">
        <v>293</v>
      </c>
      <c r="C75" s="6" t="s">
        <v>324</v>
      </c>
      <c r="D75" s="6" t="s">
        <v>325</v>
      </c>
      <c r="E75" s="7" t="s">
        <v>326</v>
      </c>
      <c r="F75" s="8" t="str">
        <f>HYPERLINK("https://he-eppat.vercel.app/Backlog-HE-ORDER-Prototype.html","https://he-eppat.vercel.app/Backlog-HE-ORDER-Prototype.html")</f>
        <v>https://he-eppat.vercel.app/Backlog-HE-ORDER-Prototype.html</v>
      </c>
      <c r="G75" s="6" t="s">
        <v>27</v>
      </c>
    </row>
    <row r="76" spans="1:7" x14ac:dyDescent="0.25">
      <c r="A76" s="5" t="s">
        <v>327</v>
      </c>
      <c r="B76" s="5"/>
      <c r="C76" s="5"/>
      <c r="D76" s="5"/>
      <c r="E76" s="5"/>
      <c r="F76" s="5"/>
      <c r="G76" s="5"/>
    </row>
    <row r="77" spans="1:7" x14ac:dyDescent="0.25">
      <c r="A77" s="6" t="s">
        <v>328</v>
      </c>
      <c r="B77" s="6" t="s">
        <v>329</v>
      </c>
      <c r="C77" s="6" t="s">
        <v>330</v>
      </c>
      <c r="D77" s="6" t="s">
        <v>331</v>
      </c>
      <c r="E77" s="7" t="s">
        <v>332</v>
      </c>
      <c r="F77" s="8" t="str">
        <f>HYPERLINK("https://he-eppat.vercel.app/Backlog-IDDS-TN-SYSTEM-Prototype.html","https://he-eppat.vercel.app/Backlog-IDDS-TN-SYSTEM-Prototype.html")</f>
        <v>https://he-eppat.vercel.app/Backlog-IDDS-TN-SYSTEM-Prototype.html</v>
      </c>
      <c r="G77" s="6" t="s">
        <v>333</v>
      </c>
    </row>
    <row r="78" spans="1:7" x14ac:dyDescent="0.25">
      <c r="A78" s="6" t="s">
        <v>334</v>
      </c>
      <c r="B78" s="6" t="s">
        <v>329</v>
      </c>
      <c r="C78" s="6" t="s">
        <v>335</v>
      </c>
      <c r="D78" s="6" t="s">
        <v>336</v>
      </c>
      <c r="E78" s="7" t="s">
        <v>337</v>
      </c>
      <c r="F78" s="8" t="str">
        <f>HYPERLINK("https://he-eppat.vercel.app/Backlog-HE-USER-Prototype.html","https://he-eppat.vercel.app/Backlog-HE-USER-Prototype.html")</f>
        <v>https://he-eppat.vercel.app/Backlog-HE-USER-Prototype.html</v>
      </c>
      <c r="G78" s="6" t="s">
        <v>338</v>
      </c>
    </row>
    <row r="79" spans="1:7" x14ac:dyDescent="0.25">
      <c r="A79" s="6" t="s">
        <v>339</v>
      </c>
      <c r="B79" s="6" t="s">
        <v>329</v>
      </c>
      <c r="C79" s="6" t="s">
        <v>340</v>
      </c>
      <c r="D79" s="6" t="s">
        <v>341</v>
      </c>
      <c r="E79" s="7" t="s">
        <v>342</v>
      </c>
      <c r="F79" s="8" t="str">
        <f>HYPERLINK("https://he-eppat.vercel.app/Backlog-IDDS-TN-SYSTEM-Prototype.html","https://he-eppat.vercel.app/Backlog-IDDS-TN-SYSTEM-Prototype.html")</f>
        <v>https://he-eppat.vercel.app/Backlog-IDDS-TN-SYSTEM-Prototype.html</v>
      </c>
      <c r="G79" s="6" t="s">
        <v>81</v>
      </c>
    </row>
    <row r="80" spans="1:7" x14ac:dyDescent="0.25">
      <c r="A80" s="6" t="s">
        <v>343</v>
      </c>
      <c r="B80" s="6" t="s">
        <v>329</v>
      </c>
      <c r="C80" s="6" t="s">
        <v>344</v>
      </c>
      <c r="D80" s="6" t="s">
        <v>345</v>
      </c>
      <c r="E80" s="7" t="s">
        <v>346</v>
      </c>
      <c r="F80" s="8" t="str">
        <f>HYPERLINK("https://he-eppat.vercel.app/Backlog-HE-ORDER-Prototype.html","https://he-eppat.vercel.app/Backlog-HE-ORDER-Prototype.html")</f>
        <v>https://he-eppat.vercel.app/Backlog-HE-ORDER-Prototype.html</v>
      </c>
      <c r="G80" s="6" t="s">
        <v>347</v>
      </c>
    </row>
    <row r="81" spans="1:7" x14ac:dyDescent="0.25">
      <c r="A81" s="6" t="s">
        <v>348</v>
      </c>
      <c r="B81" s="6" t="s">
        <v>329</v>
      </c>
      <c r="C81" s="6" t="s">
        <v>349</v>
      </c>
      <c r="D81" s="6" t="s">
        <v>350</v>
      </c>
      <c r="E81" s="7" t="s">
        <v>351</v>
      </c>
      <c r="F81" s="8" t="str">
        <f>HYPERLINK("https://he-eppat.vercel.app/Backlog-IDDS-TN-MASUK-Prototype.html","https://he-eppat.vercel.app/Backlog-IDDS-TN-MASUK-Prototype.html")</f>
        <v>https://he-eppat.vercel.app/Backlog-IDDS-TN-MASUK-Prototype.html</v>
      </c>
      <c r="G81" s="6" t="s">
        <v>352</v>
      </c>
    </row>
    <row r="82" spans="1:7" x14ac:dyDescent="0.25">
      <c r="A82" s="6" t="s">
        <v>353</v>
      </c>
      <c r="B82" s="6" t="s">
        <v>329</v>
      </c>
      <c r="C82" s="6" t="s">
        <v>354</v>
      </c>
      <c r="D82" s="6" t="s">
        <v>355</v>
      </c>
      <c r="E82" s="7" t="s">
        <v>356</v>
      </c>
      <c r="F82" s="8" t="str">
        <f>HYPERLINK("https://he-eppat.vercel.app/Backlog-IDDS-TN-EPPAT-Prototype.html","https://he-eppat.vercel.app/Backlog-IDDS-TN-EPPAT-Prototype.html")</f>
        <v>https://he-eppat.vercel.app/Backlog-IDDS-TN-EPPAT-Prototype.html</v>
      </c>
      <c r="G82" s="6" t="s">
        <v>357</v>
      </c>
    </row>
    <row r="83" spans="1:7" x14ac:dyDescent="0.25">
      <c r="A83" s="6" t="s">
        <v>358</v>
      </c>
      <c r="B83" s="6" t="s">
        <v>329</v>
      </c>
      <c r="C83" s="6" t="s">
        <v>359</v>
      </c>
      <c r="D83" s="6" t="s">
        <v>360</v>
      </c>
      <c r="E83" s="7" t="s">
        <v>361</v>
      </c>
      <c r="F83" s="8" t="str">
        <f>HYPERLINK("https://he-eppat.vercel.app/Backlog-HE-ORDER-Prototype.html","https://he-eppat.vercel.app/Backlog-HE-ORDER-Prototype.html")</f>
        <v>https://he-eppat.vercel.app/Backlog-HE-ORDER-Prototype.html</v>
      </c>
      <c r="G83" s="6" t="s">
        <v>27</v>
      </c>
    </row>
    <row r="84" spans="1:7" x14ac:dyDescent="0.25">
      <c r="A84" s="6" t="s">
        <v>362</v>
      </c>
      <c r="B84" s="6" t="s">
        <v>329</v>
      </c>
      <c r="C84" s="6" t="s">
        <v>363</v>
      </c>
      <c r="D84" s="6" t="s">
        <v>364</v>
      </c>
      <c r="E84" s="7" t="s">
        <v>365</v>
      </c>
      <c r="F84" s="8" t="str">
        <f>HYPERLINK("https://he-eppat.vercel.app/Backlog-HE-VERIF-Prototype.html","https://he-eppat.vercel.app/Backlog-HE-VERIF-Prototype.html")</f>
        <v>https://he-eppat.vercel.app/Backlog-HE-VERIF-Prototype.html</v>
      </c>
      <c r="G84" s="6" t="s">
        <v>366</v>
      </c>
    </row>
    <row r="85" spans="1:7" x14ac:dyDescent="0.25">
      <c r="A85" s="6" t="s">
        <v>367</v>
      </c>
      <c r="B85" s="6" t="s">
        <v>329</v>
      </c>
      <c r="C85" s="6" t="s">
        <v>368</v>
      </c>
      <c r="D85" s="6" t="s">
        <v>369</v>
      </c>
      <c r="E85" s="7" t="s">
        <v>370</v>
      </c>
      <c r="F85" s="8" t="str">
        <f>HYPERLINK("https://he-eppat.vercel.app/Backlog-IDDS-TN-EPPAT-Prototype.html","https://he-eppat.vercel.app/Backlog-IDDS-TN-EPPAT-Prototype.html")</f>
        <v>https://he-eppat.vercel.app/Backlog-IDDS-TN-EPPAT-Prototype.html</v>
      </c>
      <c r="G85" s="6" t="s">
        <v>371</v>
      </c>
    </row>
    <row r="86" spans="1:7" x14ac:dyDescent="0.25">
      <c r="A86" s="6" t="s">
        <v>372</v>
      </c>
      <c r="B86" s="6" t="s">
        <v>329</v>
      </c>
      <c r="C86" s="6" t="s">
        <v>373</v>
      </c>
      <c r="D86" s="6" t="s">
        <v>374</v>
      </c>
      <c r="E86" s="7" t="s">
        <v>375</v>
      </c>
      <c r="F86" s="8" t="str">
        <f>HYPERLINK("https://he-eppat.vercel.app/Backlog-IDDS-TN-EPPAT-Prototype.html","https://he-eppat.vercel.app/Backlog-IDDS-TN-EPPAT-Prototype.html")</f>
        <v>https://he-eppat.vercel.app/Backlog-IDDS-TN-EPPAT-Prototype.html</v>
      </c>
      <c r="G86" s="6" t="s">
        <v>376</v>
      </c>
    </row>
    <row r="87" spans="1:7" x14ac:dyDescent="0.25">
      <c r="A87" s="5" t="s">
        <v>377</v>
      </c>
      <c r="B87" s="5"/>
      <c r="C87" s="5"/>
      <c r="D87" s="5"/>
      <c r="E87" s="5"/>
      <c r="F87" s="5"/>
      <c r="G87" s="5"/>
    </row>
    <row r="88" spans="1:7" x14ac:dyDescent="0.25">
      <c r="A88" s="6" t="s">
        <v>378</v>
      </c>
      <c r="B88" s="6" t="s">
        <v>379</v>
      </c>
      <c r="C88" s="6" t="s">
        <v>380</v>
      </c>
      <c r="D88" s="6" t="s">
        <v>381</v>
      </c>
      <c r="E88" s="7" t="s">
        <v>382</v>
      </c>
      <c r="F88" s="6" t="s">
        <v>40</v>
      </c>
      <c r="G88" s="6" t="s">
        <v>22</v>
      </c>
    </row>
    <row r="89" spans="1:7" x14ac:dyDescent="0.25">
      <c r="A89" s="6" t="s">
        <v>383</v>
      </c>
      <c r="B89" s="6" t="s">
        <v>379</v>
      </c>
      <c r="C89" s="6" t="s">
        <v>60</v>
      </c>
      <c r="D89" s="6" t="s">
        <v>384</v>
      </c>
      <c r="E89" s="7" t="s">
        <v>385</v>
      </c>
      <c r="F89" s="8" t="str">
        <f>HYPERLINK("https://he-eppat.vercel.app/Backlog-HE-ORDER-Prototype.html","https://he-eppat.vercel.app/Backlog-HE-ORDER-Prototype.html")</f>
        <v>https://he-eppat.vercel.app/Backlog-HE-ORDER-Prototype.html</v>
      </c>
      <c r="G89" s="6" t="s">
        <v>91</v>
      </c>
    </row>
    <row r="90" spans="1:7" x14ac:dyDescent="0.25">
      <c r="A90" s="6" t="s">
        <v>386</v>
      </c>
      <c r="B90" s="6" t="s">
        <v>379</v>
      </c>
      <c r="C90" s="6" t="s">
        <v>387</v>
      </c>
      <c r="D90" s="6" t="s">
        <v>388</v>
      </c>
      <c r="E90" s="7" t="s">
        <v>389</v>
      </c>
      <c r="F90" s="8" t="str">
        <f>HYPERLINK("https://he-eppat.vercel.app/Backlog-IDDS-TN-MASUK-Prototype.html","https://he-eppat.vercel.app/Backlog-IDDS-TN-MASUK-Prototype.html")</f>
        <v>https://he-eppat.vercel.app/Backlog-IDDS-TN-MASUK-Prototype.html</v>
      </c>
      <c r="G90" s="6" t="s">
        <v>390</v>
      </c>
    </row>
    <row r="91" spans="1:7" x14ac:dyDescent="0.25">
      <c r="A91" s="6" t="s">
        <v>391</v>
      </c>
      <c r="B91" s="6" t="s">
        <v>379</v>
      </c>
      <c r="C91" s="6" t="s">
        <v>392</v>
      </c>
      <c r="D91" s="6" t="s">
        <v>393</v>
      </c>
      <c r="E91" s="7" t="s">
        <v>394</v>
      </c>
      <c r="F91" s="8" t="str">
        <f>HYPERLINK("https://he-eppat.vercel.app/Backlog-HE-ORDER-Prototype.html","https://he-eppat.vercel.app/Backlog-HE-ORDER-Prototype.html")</f>
        <v>https://he-eppat.vercel.app/Backlog-HE-ORDER-Prototype.html</v>
      </c>
      <c r="G91" s="6" t="s">
        <v>395</v>
      </c>
    </row>
    <row r="92" spans="1:7" x14ac:dyDescent="0.25">
      <c r="A92" s="6" t="s">
        <v>396</v>
      </c>
      <c r="B92" s="6" t="s">
        <v>379</v>
      </c>
      <c r="C92" s="6" t="s">
        <v>293</v>
      </c>
      <c r="D92" s="6" t="s">
        <v>397</v>
      </c>
      <c r="E92" s="7" t="s">
        <v>398</v>
      </c>
      <c r="F92" s="8" t="str">
        <f>HYPERLINK("https://he-eppat.vercel.app/Backlog-IDDS-TN-SYSTEM-Prototype.html","https://he-eppat.vercel.app/Backlog-IDDS-TN-SYSTEM-Prototype.html")</f>
        <v>https://he-eppat.vercel.app/Backlog-IDDS-TN-SYSTEM-Prototype.html</v>
      </c>
      <c r="G92" s="6" t="s">
        <v>27</v>
      </c>
    </row>
    <row r="93" spans="1:7" x14ac:dyDescent="0.25">
      <c r="A93" s="6" t="s">
        <v>399</v>
      </c>
      <c r="B93" s="6" t="s">
        <v>379</v>
      </c>
      <c r="C93" s="6" t="s">
        <v>400</v>
      </c>
      <c r="D93" s="6" t="s">
        <v>401</v>
      </c>
      <c r="E93" s="7" t="s">
        <v>402</v>
      </c>
      <c r="F93" s="8" t="str">
        <f>HYPERLINK("https://he-eppat.vercel.app/Backlog-IDDS-TN-EPPAT-Prototype.html","https://he-eppat.vercel.app/Backlog-IDDS-TN-EPPAT-Prototype.html")</f>
        <v>https://he-eppat.vercel.app/Backlog-IDDS-TN-EPPAT-Prototype.html</v>
      </c>
      <c r="G93" s="6" t="s">
        <v>403</v>
      </c>
    </row>
    <row r="94" spans="1:7" x14ac:dyDescent="0.25">
      <c r="A94" s="5" t="s">
        <v>404</v>
      </c>
      <c r="B94" s="5"/>
      <c r="C94" s="5"/>
      <c r="D94" s="5"/>
      <c r="E94" s="5"/>
      <c r="F94" s="5"/>
      <c r="G94" s="5"/>
    </row>
    <row r="95" spans="1:7" x14ac:dyDescent="0.25">
      <c r="A95" s="6" t="s">
        <v>405</v>
      </c>
      <c r="B95" s="6" t="s">
        <v>406</v>
      </c>
      <c r="C95" s="6" t="s">
        <v>407</v>
      </c>
      <c r="D95" s="6" t="s">
        <v>408</v>
      </c>
      <c r="E95" s="7" t="s">
        <v>409</v>
      </c>
      <c r="F95" s="8" t="str">
        <f>HYPERLINK("https://he-eppat.vercel.app/Brand-Mode-EPPAT-IDDS.html","https://he-eppat.vercel.app/Brand-Mode-EPPAT-IDDS.html")</f>
        <v>https://he-eppat.vercel.app/Brand-Mode-EPPAT-IDDS.html</v>
      </c>
      <c r="G95" s="6" t="s">
        <v>22</v>
      </c>
    </row>
    <row r="96" spans="1:7" x14ac:dyDescent="0.25">
      <c r="A96" s="6" t="s">
        <v>410</v>
      </c>
      <c r="B96" s="6" t="s">
        <v>406</v>
      </c>
      <c r="C96" s="6" t="s">
        <v>411</v>
      </c>
      <c r="D96" s="6" t="s">
        <v>412</v>
      </c>
      <c r="E96" s="7" t="s">
        <v>413</v>
      </c>
      <c r="F96" s="8" t="str">
        <f>HYPERLINK("https://he-eppat.vercel.app/Backlog-HE-ORDER-Prototype.html","https://he-eppat.vercel.app/Backlog-HE-ORDER-Prototype.html")</f>
        <v>https://he-eppat.vercel.app/Backlog-HE-ORDER-Prototype.html</v>
      </c>
      <c r="G96" s="6" t="s">
        <v>414</v>
      </c>
    </row>
    <row r="97" spans="1:7" x14ac:dyDescent="0.25">
      <c r="A97" s="6" t="s">
        <v>415</v>
      </c>
      <c r="B97" s="6" t="s">
        <v>406</v>
      </c>
      <c r="C97" s="6" t="s">
        <v>416</v>
      </c>
      <c r="D97" s="6" t="s">
        <v>417</v>
      </c>
      <c r="E97" s="7" t="s">
        <v>418</v>
      </c>
      <c r="F97" s="8" t="str">
        <f>HYPERLINK("https://he-eppat.vercel.app/Backlog-HE-USER-Prototype.html","https://he-eppat.vercel.app/Backlog-HE-USER-Prototype.html")</f>
        <v>https://he-eppat.vercel.app/Backlog-HE-USER-Prototype.html</v>
      </c>
      <c r="G97" s="6" t="s">
        <v>419</v>
      </c>
    </row>
    <row r="98" spans="1:7" x14ac:dyDescent="0.25">
      <c r="A98" s="6" t="s">
        <v>420</v>
      </c>
      <c r="B98" s="6" t="s">
        <v>406</v>
      </c>
      <c r="C98" s="6" t="s">
        <v>421</v>
      </c>
      <c r="D98" s="6" t="s">
        <v>422</v>
      </c>
      <c r="E98" s="7" t="s">
        <v>423</v>
      </c>
      <c r="F98" s="8" t="str">
        <f>HYPERLINK("https://he-eppat.vercel.app/Backlog-HE-VERIF-Prototype.html","https://he-eppat.vercel.app/Backlog-HE-VERIF-Prototype.html")</f>
        <v>https://he-eppat.vercel.app/Backlog-HE-VERIF-Prototype.html</v>
      </c>
      <c r="G98" s="6" t="s">
        <v>424</v>
      </c>
    </row>
    <row r="99" spans="1:7" x14ac:dyDescent="0.25">
      <c r="A99" s="6" t="s">
        <v>425</v>
      </c>
      <c r="B99" s="6" t="s">
        <v>406</v>
      </c>
      <c r="C99" s="6" t="s">
        <v>426</v>
      </c>
      <c r="D99" s="6" t="s">
        <v>427</v>
      </c>
      <c r="E99" s="7" t="s">
        <v>428</v>
      </c>
      <c r="F99" s="8" t="str">
        <f>HYPERLINK("https://he-eppat.vercel.app/Backlog-HE-EAW-Prototype.html","https://he-eppat.vercel.app/Backlog-HE-EAW-Prototype.html")</f>
        <v>https://he-eppat.vercel.app/Backlog-HE-EAW-Prototype.html</v>
      </c>
      <c r="G99" s="6" t="s">
        <v>429</v>
      </c>
    </row>
    <row r="100" spans="1:7" x14ac:dyDescent="0.25">
      <c r="A100" s="6" t="s">
        <v>430</v>
      </c>
      <c r="B100" s="6" t="s">
        <v>406</v>
      </c>
      <c r="C100" s="6" t="s">
        <v>431</v>
      </c>
      <c r="D100" s="6" t="s">
        <v>432</v>
      </c>
      <c r="E100" s="7" t="s">
        <v>433</v>
      </c>
      <c r="F100" s="8" t="str">
        <f>HYPERLINK("https://he-eppat.vercel.app/Backlog-HE-EAWK-Prototype.html","https://he-eppat.vercel.app/Backlog-HE-EAWK-Prototype.html")</f>
        <v>https://he-eppat.vercel.app/Backlog-HE-EAWK-Prototype.html</v>
      </c>
      <c r="G100" s="6" t="s">
        <v>434</v>
      </c>
    </row>
    <row r="101" spans="1:7" x14ac:dyDescent="0.25">
      <c r="A101" s="6" t="s">
        <v>435</v>
      </c>
      <c r="B101" s="6" t="s">
        <v>406</v>
      </c>
      <c r="C101" s="6" t="s">
        <v>436</v>
      </c>
      <c r="D101" s="6" t="s">
        <v>437</v>
      </c>
      <c r="E101" s="7" t="s">
        <v>438</v>
      </c>
      <c r="F101" s="8" t="str">
        <f>HYPERLINK("https://he-eppat.vercel.app/Backlog-HE-TERA-Prototype.html","https://he-eppat.vercel.app/Backlog-HE-TERA-Prototype.html")</f>
        <v>https://he-eppat.vercel.app/Backlog-HE-TERA-Prototype.html</v>
      </c>
      <c r="G101" s="6" t="s">
        <v>439</v>
      </c>
    </row>
    <row r="102" spans="1:7" x14ac:dyDescent="0.25">
      <c r="A102" s="6" t="s">
        <v>440</v>
      </c>
      <c r="B102" s="6" t="s">
        <v>406</v>
      </c>
      <c r="C102" s="6" t="s">
        <v>441</v>
      </c>
      <c r="D102" s="6" t="s">
        <v>442</v>
      </c>
      <c r="E102" s="7" t="s">
        <v>443</v>
      </c>
      <c r="F102" s="8" t="str">
        <f>HYPERLINK("https://he-eppat.vercel.app/Backlog-HE-CA-Prototype.html","https://he-eppat.vercel.app/Backlog-HE-CA-Prototype.html")</f>
        <v>https://he-eppat.vercel.app/Backlog-HE-CA-Prototype.html</v>
      </c>
      <c r="G102" s="6" t="s">
        <v>444</v>
      </c>
    </row>
    <row r="103" spans="1:7" x14ac:dyDescent="0.25">
      <c r="A103" s="6" t="s">
        <v>445</v>
      </c>
      <c r="B103" s="6" t="s">
        <v>406</v>
      </c>
      <c r="C103" s="6" t="s">
        <v>446</v>
      </c>
      <c r="D103" s="6" t="s">
        <v>447</v>
      </c>
      <c r="E103" s="7" t="s">
        <v>448</v>
      </c>
      <c r="F103" s="8" t="str">
        <f>HYPERLINK("https://he-eppat.vercel.app/Backlog-HE-MINUTA-Prototype.html","https://he-eppat.vercel.app/Backlog-HE-MINUTA-Prototype.html")</f>
        <v>https://he-eppat.vercel.app/Backlog-HE-MINUTA-Prototype.html</v>
      </c>
      <c r="G103" s="6" t="s">
        <v>449</v>
      </c>
    </row>
    <row r="104" spans="1:7" x14ac:dyDescent="0.25">
      <c r="A104" s="6" t="s">
        <v>450</v>
      </c>
      <c r="B104" s="6" t="s">
        <v>406</v>
      </c>
      <c r="C104" s="6" t="s">
        <v>451</v>
      </c>
      <c r="D104" s="6" t="s">
        <v>452</v>
      </c>
      <c r="E104" s="7" t="s">
        <v>453</v>
      </c>
      <c r="F104" s="8" t="str">
        <f>HYPERLINK("https://he-eppat.vercel.app/Backlog-HE-ONBOARDING-Prototype.html","https://he-eppat.vercel.app/Backlog-HE-ONBOARDING-Prototype.html")</f>
        <v>https://he-eppat.vercel.app/Backlog-HE-ONBOARDING-Prototype.html</v>
      </c>
      <c r="G104" s="6" t="s">
        <v>454</v>
      </c>
    </row>
    <row r="105" spans="1:7" x14ac:dyDescent="0.25">
      <c r="A105" s="6" t="s">
        <v>455</v>
      </c>
      <c r="B105" s="6" t="s">
        <v>406</v>
      </c>
      <c r="C105" s="6" t="s">
        <v>456</v>
      </c>
      <c r="D105" s="6" t="s">
        <v>457</v>
      </c>
      <c r="E105" s="7" t="s">
        <v>458</v>
      </c>
      <c r="F105" s="8" t="str">
        <f>HYPERLINK("https://he-eppat.vercel.app/Backlog-IDDS-TN-MASUK-Prototype.html","https://he-eppat.vercel.app/Backlog-IDDS-TN-MASUK-Prototype.html")</f>
        <v>https://he-eppat.vercel.app/Backlog-IDDS-TN-MASUK-Prototype.html</v>
      </c>
      <c r="G105" s="6" t="s">
        <v>459</v>
      </c>
    </row>
    <row r="106" spans="1:7" x14ac:dyDescent="0.25">
      <c r="A106" s="6" t="s">
        <v>460</v>
      </c>
      <c r="B106" s="6" t="s">
        <v>406</v>
      </c>
      <c r="C106" s="6" t="s">
        <v>461</v>
      </c>
      <c r="D106" s="6" t="s">
        <v>462</v>
      </c>
      <c r="E106" s="7" t="s">
        <v>463</v>
      </c>
      <c r="F106" s="8" t="str">
        <f>HYPERLINK("https://he-eppat.vercel.app/Backlog-IDDS-TN-SYSTEM-Prototype.html","https://he-eppat.vercel.app/Backlog-IDDS-TN-SYSTEM-Prototype.html")</f>
        <v>https://he-eppat.vercel.app/Backlog-IDDS-TN-SYSTEM-Prototype.html</v>
      </c>
      <c r="G106" s="6" t="s">
        <v>464</v>
      </c>
    </row>
    <row r="107" spans="1:7" x14ac:dyDescent="0.25">
      <c r="A107" s="6" t="s">
        <v>465</v>
      </c>
      <c r="B107" s="6" t="s">
        <v>406</v>
      </c>
      <c r="C107" s="6" t="s">
        <v>466</v>
      </c>
      <c r="D107" s="6" t="s">
        <v>467</v>
      </c>
      <c r="E107" s="7" t="s">
        <v>468</v>
      </c>
      <c r="F107" s="8" t="str">
        <f>HYPERLINK("https://he-eppat.vercel.app/Backlog-IDDS-TN-CMS-Prototype.html","https://he-eppat.vercel.app/Backlog-IDDS-TN-CMS-Prototype.html")</f>
        <v>https://he-eppat.vercel.app/Backlog-IDDS-TN-CMS-Prototype.html</v>
      </c>
      <c r="G107" s="6" t="s">
        <v>469</v>
      </c>
    </row>
    <row r="108" spans="1:7" x14ac:dyDescent="0.25">
      <c r="A108" s="6" t="s">
        <v>470</v>
      </c>
      <c r="B108" s="6" t="s">
        <v>406</v>
      </c>
      <c r="C108" s="6" t="s">
        <v>471</v>
      </c>
      <c r="D108" s="6" t="s">
        <v>472</v>
      </c>
      <c r="E108" s="7" t="s">
        <v>473</v>
      </c>
      <c r="F108" s="8" t="str">
        <f>HYPERLINK("https://he-eppat.vercel.app/Backlog-IDDS-TN-EPPAT-Prototype.html","https://he-eppat.vercel.app/Backlog-IDDS-TN-EPPAT-Prototype.html")</f>
        <v>https://he-eppat.vercel.app/Backlog-IDDS-TN-EPPAT-Prototype.html</v>
      </c>
      <c r="G108" s="6" t="s">
        <v>474</v>
      </c>
    </row>
    <row r="109" spans="1:7" x14ac:dyDescent="0.25">
      <c r="A109" s="6" t="s">
        <v>475</v>
      </c>
      <c r="B109" s="6" t="s">
        <v>406</v>
      </c>
      <c r="C109" s="6" t="s">
        <v>476</v>
      </c>
      <c r="D109" s="6" t="s">
        <v>477</v>
      </c>
      <c r="E109" s="7" t="s">
        <v>478</v>
      </c>
      <c r="F109" s="8" t="str">
        <f>HYPERLINK("https://he-eppat.vercel.app/Backlog-IDDS-PL-MASUK-Prototype.html","https://he-eppat.vercel.app/Backlog-IDDS-PL-MASUK-Prototype.html")</f>
        <v>https://he-eppat.vercel.app/Backlog-IDDS-PL-MASUK-Prototype.html</v>
      </c>
      <c r="G109" s="6" t="s">
        <v>479</v>
      </c>
    </row>
    <row r="110" spans="1:7" x14ac:dyDescent="0.25">
      <c r="A110" s="6" t="s">
        <v>480</v>
      </c>
      <c r="B110" s="6" t="s">
        <v>406</v>
      </c>
      <c r="C110" s="6" t="s">
        <v>481</v>
      </c>
      <c r="D110" s="6" t="s">
        <v>482</v>
      </c>
      <c r="E110" s="7" t="s">
        <v>483</v>
      </c>
      <c r="F110" s="8" t="str">
        <f>HYPERLINK("https://he-eppat.vercel.app/Backlog-IDDS-PL-MONITORING-Prototype.html","https://he-eppat.vercel.app/Backlog-IDDS-PL-MONITORING-Prototype.html")</f>
        <v>https://he-eppat.vercel.app/Backlog-IDDS-PL-MONITORING-Prototype.html</v>
      </c>
      <c r="G110" s="6" t="s">
        <v>484</v>
      </c>
    </row>
    <row r="111" spans="1:7" x14ac:dyDescent="0.25">
      <c r="A111" s="6" t="s">
        <v>485</v>
      </c>
      <c r="B111" s="6" t="s">
        <v>406</v>
      </c>
      <c r="C111" s="6" t="s">
        <v>486</v>
      </c>
      <c r="D111" s="6" t="s">
        <v>487</v>
      </c>
      <c r="E111" s="7" t="s">
        <v>488</v>
      </c>
      <c r="F111" s="8" t="str">
        <f>HYPERLINK("https://he-eppat.vercel.app/Backlog-IDDS-PL-AKTA-Prototype.html","https://he-eppat.vercel.app/Backlog-IDDS-PL-AKTA-Prototype.html")</f>
        <v>https://he-eppat.vercel.app/Backlog-IDDS-PL-AKTA-Prototype.html</v>
      </c>
      <c r="G111" s="6" t="s">
        <v>489</v>
      </c>
    </row>
    <row r="112" spans="1:7" x14ac:dyDescent="0.25">
      <c r="A112" s="6" t="s">
        <v>490</v>
      </c>
      <c r="B112" s="6" t="s">
        <v>406</v>
      </c>
      <c r="C112" s="6" t="s">
        <v>491</v>
      </c>
      <c r="D112" s="6" t="s">
        <v>492</v>
      </c>
      <c r="E112" s="7" t="s">
        <v>493</v>
      </c>
      <c r="F112" s="8" t="str">
        <f>HYPERLINK("https://he-eppat.vercel.app/Backlog-IDDS-PL-SISTEM-Prototype.html","https://he-eppat.vercel.app/Backlog-IDDS-PL-SISTEM-Prototype.html")</f>
        <v>https://he-eppat.vercel.app/Backlog-IDDS-PL-SISTEM-Prototype.html</v>
      </c>
      <c r="G112" s="6" t="s">
        <v>494</v>
      </c>
    </row>
    <row r="113" spans="1:7" x14ac:dyDescent="0.25">
      <c r="A113" s="6" t="s">
        <v>495</v>
      </c>
      <c r="B113" s="6" t="s">
        <v>406</v>
      </c>
      <c r="C113" s="6" t="s">
        <v>496</v>
      </c>
      <c r="D113" s="6" t="s">
        <v>497</v>
      </c>
      <c r="E113" s="7" t="s">
        <v>498</v>
      </c>
      <c r="F113" s="8" t="str">
        <f>HYPERLINK("https://he-eppat.vercel.app/Backlog-IDDS-OB-MASUK-Prototype.html","https://he-eppat.vercel.app/Backlog-IDDS-OB-MASUK-Prototype.html")</f>
        <v>https://he-eppat.vercel.app/Backlog-IDDS-OB-MASUK-Prototype.html</v>
      </c>
      <c r="G113" s="6" t="s">
        <v>499</v>
      </c>
    </row>
    <row r="114" spans="1:7" x14ac:dyDescent="0.25">
      <c r="A114" s="6" t="s">
        <v>500</v>
      </c>
      <c r="B114" s="6" t="s">
        <v>406</v>
      </c>
      <c r="C114" s="6" t="s">
        <v>501</v>
      </c>
      <c r="D114" s="6" t="s">
        <v>502</v>
      </c>
      <c r="E114" s="7" t="s">
        <v>503</v>
      </c>
      <c r="F114" s="8" t="str">
        <f>HYPERLINK("https://he-eppat.vercel.app/Backlog-IDDS-OB-MONITOR-Prototype.html","https://he-eppat.vercel.app/Backlog-IDDS-OB-MONITOR-Prototype.html")</f>
        <v>https://he-eppat.vercel.app/Backlog-IDDS-OB-MONITOR-Prototype.html</v>
      </c>
      <c r="G114" s="6" t="s">
        <v>504</v>
      </c>
    </row>
    <row r="115" spans="1:7" x14ac:dyDescent="0.25">
      <c r="A115" s="6" t="s">
        <v>505</v>
      </c>
      <c r="B115" s="6" t="s">
        <v>406</v>
      </c>
      <c r="C115" s="6" t="s">
        <v>506</v>
      </c>
      <c r="D115" s="6" t="s">
        <v>507</v>
      </c>
      <c r="E115" s="7" t="s">
        <v>508</v>
      </c>
      <c r="F115" s="8" t="str">
        <f>HYPERLINK("https://he-eppat.vercel.app/Backlog-IDDS-OB-VERIF-Prototype.html","https://he-eppat.vercel.app/Backlog-IDDS-OB-VERIF-Prototype.html")</f>
        <v>https://he-eppat.vercel.app/Backlog-IDDS-OB-VERIF-Prototype.html</v>
      </c>
      <c r="G115" s="6" t="s">
        <v>509</v>
      </c>
    </row>
    <row r="116" spans="1:7" x14ac:dyDescent="0.25">
      <c r="A116" s="6" t="s">
        <v>510</v>
      </c>
      <c r="B116" s="6" t="s">
        <v>406</v>
      </c>
      <c r="C116" s="6" t="s">
        <v>511</v>
      </c>
      <c r="D116" s="6" t="s">
        <v>512</v>
      </c>
      <c r="E116" s="7" t="s">
        <v>513</v>
      </c>
      <c r="F116" s="8" t="str">
        <f>HYPERLINK("https://he-eppat.vercel.app/Backlog-IDDS-OB-PENGATURAN-Prototype.html","https://he-eppat.vercel.app/Backlog-IDDS-OB-PENGATURAN-Prototype.html")</f>
        <v>https://he-eppat.vercel.app/Backlog-IDDS-OB-PENGATURAN-Prototype.html</v>
      </c>
      <c r="G116" s="6" t="s">
        <v>514</v>
      </c>
    </row>
  </sheetData>
  <mergeCells count="11">
    <mergeCell ref="A1:G1"/>
    <mergeCell ref="A2:G2"/>
    <mergeCell ref="A3:G3"/>
    <mergeCell ref="A6:G6"/>
    <mergeCell ref="A17:G17"/>
    <mergeCell ref="A30:G30"/>
    <mergeCell ref="A54:G54"/>
    <mergeCell ref="A67:G67"/>
    <mergeCell ref="A76:G76"/>
    <mergeCell ref="A87:G87"/>
    <mergeCell ref="A94:G9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40" customWidth="1"/>
    <col min="13" max="13" width="45" customWidth="1"/>
    <col min="14" max="14" width="16" customWidth="1"/>
    <col min="15" max="15" width="32" customWidth="1"/>
    <col min="16" max="16" width="12" customWidth="1"/>
  </cols>
  <sheetData>
    <row r="1" ht="22" customHeight="1" spans="1:16" x14ac:dyDescent="0.25">
      <c r="A1" s="1" t="s">
        <v>515</v>
      </c>
      <c r="B1" s="1"/>
      <c r="C1" s="1"/>
      <c r="D1" s="1"/>
      <c r="E1" s="1"/>
      <c r="F1" s="1"/>
      <c r="G1" s="1"/>
      <c r="H1" s="1"/>
      <c r="I1" s="1"/>
      <c r="J1" s="1"/>
      <c r="K1" s="1"/>
      <c r="L1" s="1"/>
      <c r="M1" s="1"/>
      <c r="N1" s="1"/>
      <c r="O1" s="1"/>
      <c r="P1" s="1"/>
    </row>
    <row r="2" spans="1:16" x14ac:dyDescent="0.25">
      <c r="A2" s="2" t="s">
        <v>516</v>
      </c>
      <c r="B2" s="2"/>
      <c r="C2" s="2"/>
      <c r="D2" s="2"/>
      <c r="E2" s="2"/>
      <c r="F2" s="2"/>
      <c r="G2" s="2"/>
      <c r="H2" s="2"/>
      <c r="I2" s="2"/>
      <c r="J2" s="2"/>
      <c r="K2" s="2"/>
      <c r="L2" s="2"/>
      <c r="M2" s="2"/>
      <c r="N2" s="2"/>
      <c r="O2" s="2"/>
      <c r="P2" s="2"/>
    </row>
    <row r="3" ht="18" customHeight="1" spans="1:6" x14ac:dyDescent="0.25">
      <c r="A3" s="9" t="str">
        <f>HYPERLINK("https://he-eppat.vercel.app/index.html#he","Situs prototipe: https://he-eppat.vercel.app/  ·  Buka daftar prototipe kelompok ini")</f>
        <v>Situs prototipe: https://he-eppat.vercel.app/  ·  Buka daftar prototipe kelompok ini</v>
      </c>
      <c r="B3" s="9"/>
      <c r="C3" s="9"/>
      <c r="D3" s="9"/>
      <c r="E3" s="9"/>
      <c r="F3" s="9"/>
    </row>
    <row r="4" ht="30" customHeight="1" spans="1:16" x14ac:dyDescent="0.25">
      <c r="A4" s="4" t="s">
        <v>3</v>
      </c>
      <c r="B4" s="4" t="s">
        <v>517</v>
      </c>
      <c r="C4" s="4" t="s">
        <v>518</v>
      </c>
      <c r="D4" s="4" t="s">
        <v>519</v>
      </c>
      <c r="E4" s="4" t="s">
        <v>520</v>
      </c>
      <c r="F4" s="4" t="s">
        <v>521</v>
      </c>
      <c r="G4" s="4" t="s">
        <v>522</v>
      </c>
      <c r="H4" s="4" t="s">
        <v>523</v>
      </c>
      <c r="I4" s="4" t="s">
        <v>524</v>
      </c>
      <c r="J4" s="4" t="s">
        <v>525</v>
      </c>
      <c r="K4" s="4" t="s">
        <v>526</v>
      </c>
      <c r="L4" s="4" t="s">
        <v>8</v>
      </c>
      <c r="M4" s="4" t="s">
        <v>527</v>
      </c>
      <c r="N4" s="4" t="s">
        <v>528</v>
      </c>
      <c r="O4" s="4" t="s">
        <v>529</v>
      </c>
      <c r="P4" s="4" t="s">
        <v>530</v>
      </c>
    </row>
    <row r="5" spans="1:16" x14ac:dyDescent="0.25">
      <c r="A5" s="10">
        <v>1</v>
      </c>
      <c r="B5" s="11" t="s">
        <v>22</v>
      </c>
      <c r="C5" s="10" t="s">
        <v>531</v>
      </c>
      <c r="D5" s="10" t="s">
        <v>532</v>
      </c>
      <c r="E5" s="10" t="s">
        <v>533</v>
      </c>
      <c r="F5" s="10" t="s">
        <v>534</v>
      </c>
      <c r="G5" s="10" t="s">
        <v>535</v>
      </c>
      <c r="H5" s="10" t="s">
        <v>536</v>
      </c>
      <c r="I5" s="10" t="s">
        <v>537</v>
      </c>
      <c r="J5" s="10" t="s">
        <v>538</v>
      </c>
      <c r="K5" s="10" t="s">
        <v>539</v>
      </c>
      <c r="L5" s="10" t="str">
        <f>HYPERLINK("https://he-eppat.vercel.app/Brand-Mode-EPPAT-IDDS.html","https://he-eppat.vercel.app/Brand-Mode-EPPAT-IDDS.html")</f>
        <v>https://he-eppat.vercel.app/Brand-Mode-EPPAT-IDDS.html</v>
      </c>
      <c r="M5" s="10" t="s">
        <v>540</v>
      </c>
      <c r="N5" s="12" t="s">
        <v>541</v>
      </c>
      <c r="O5" s="12" t="s">
        <v>542</v>
      </c>
      <c r="P5" s="13">
        <v>46321</v>
      </c>
    </row>
    <row r="6" spans="1:16" x14ac:dyDescent="0.25">
      <c r="A6" s="14">
        <v>2</v>
      </c>
      <c r="B6" s="15" t="s">
        <v>91</v>
      </c>
      <c r="C6" s="14" t="s">
        <v>531</v>
      </c>
      <c r="D6" s="14" t="s">
        <v>532</v>
      </c>
      <c r="E6" s="14" t="s">
        <v>543</v>
      </c>
      <c r="F6" s="14" t="s">
        <v>544</v>
      </c>
      <c r="G6" s="14" t="s">
        <v>545</v>
      </c>
      <c r="H6" s="14" t="s">
        <v>546</v>
      </c>
      <c r="I6" s="14" t="s">
        <v>547</v>
      </c>
      <c r="J6" s="14" t="s">
        <v>538</v>
      </c>
      <c r="K6" s="14" t="s">
        <v>548</v>
      </c>
      <c r="L6" s="14" t="str">
        <f>HYPERLINK("https://he-eppat.vercel.app/Backlog-HE-TERA-Prototype.html","https://he-eppat.vercel.app/Backlog-HE-TERA-Prototype.html")</f>
        <v>https://he-eppat.vercel.app/Backlog-HE-TERA-Prototype.html</v>
      </c>
      <c r="M6" s="14" t="s">
        <v>549</v>
      </c>
      <c r="N6" s="12" t="s">
        <v>550</v>
      </c>
      <c r="O6" s="12" t="s">
        <v>551</v>
      </c>
      <c r="P6" s="16">
        <v>46321</v>
      </c>
    </row>
    <row r="7" spans="1:16" x14ac:dyDescent="0.25">
      <c r="A7" s="10">
        <v>3</v>
      </c>
      <c r="B7" s="11" t="s">
        <v>552</v>
      </c>
      <c r="C7" s="10" t="s">
        <v>553</v>
      </c>
      <c r="D7" s="10" t="s">
        <v>436</v>
      </c>
      <c r="E7" s="10" t="s">
        <v>554</v>
      </c>
      <c r="F7" s="10" t="s">
        <v>555</v>
      </c>
      <c r="G7" s="10" t="s">
        <v>556</v>
      </c>
      <c r="H7" s="10" t="s">
        <v>557</v>
      </c>
      <c r="I7" s="10" t="s">
        <v>558</v>
      </c>
      <c r="J7" s="10" t="s">
        <v>538</v>
      </c>
      <c r="K7" s="10" t="s">
        <v>559</v>
      </c>
      <c r="L7" s="10" t="str">
        <f>HYPERLINK("https://he-eppat.vercel.app/Backlog-HE-TERA-Prototype.html","https://he-eppat.vercel.app/Backlog-HE-TERA-Prototype.html")</f>
        <v>https://he-eppat.vercel.app/Backlog-HE-TERA-Prototype.html</v>
      </c>
      <c r="M7" s="10" t="s">
        <v>560</v>
      </c>
      <c r="N7" s="12" t="s">
        <v>541</v>
      </c>
      <c r="O7" s="12" t="s">
        <v>27</v>
      </c>
      <c r="P7" s="13">
        <v>46321</v>
      </c>
    </row>
    <row r="8" spans="1:16" x14ac:dyDescent="0.25">
      <c r="A8" s="14">
        <v>4</v>
      </c>
      <c r="B8" s="15" t="s">
        <v>561</v>
      </c>
      <c r="C8" s="14" t="s">
        <v>553</v>
      </c>
      <c r="D8" s="14" t="s">
        <v>436</v>
      </c>
      <c r="E8" s="14" t="s">
        <v>562</v>
      </c>
      <c r="F8" s="14" t="s">
        <v>563</v>
      </c>
      <c r="G8" s="14" t="s">
        <v>564</v>
      </c>
      <c r="H8" s="14" t="s">
        <v>565</v>
      </c>
      <c r="I8" s="14" t="s">
        <v>566</v>
      </c>
      <c r="J8" s="14" t="s">
        <v>567</v>
      </c>
      <c r="K8" s="14" t="s">
        <v>568</v>
      </c>
      <c r="L8" s="14" t="str">
        <f>HYPERLINK("https://he-eppat.vercel.app/Backlog-HE-TERA-Prototype.html","https://he-eppat.vercel.app/Backlog-HE-TERA-Prototype.html")</f>
        <v>https://he-eppat.vercel.app/Backlog-HE-TERA-Prototype.html</v>
      </c>
      <c r="M8" s="14" t="s">
        <v>569</v>
      </c>
      <c r="N8" s="12" t="s">
        <v>541</v>
      </c>
      <c r="O8" s="12" t="s">
        <v>27</v>
      </c>
      <c r="P8" s="16">
        <v>46318</v>
      </c>
    </row>
    <row r="9" spans="1:16" x14ac:dyDescent="0.25">
      <c r="A9" s="10">
        <v>5</v>
      </c>
      <c r="B9" s="11" t="s">
        <v>570</v>
      </c>
      <c r="C9" s="10" t="s">
        <v>553</v>
      </c>
      <c r="D9" s="10" t="s">
        <v>436</v>
      </c>
      <c r="E9" s="10" t="s">
        <v>571</v>
      </c>
      <c r="F9" s="10" t="s">
        <v>572</v>
      </c>
      <c r="G9" s="10" t="s">
        <v>573</v>
      </c>
      <c r="H9" s="10" t="s">
        <v>574</v>
      </c>
      <c r="I9" s="10" t="s">
        <v>575</v>
      </c>
      <c r="J9" s="10" t="s">
        <v>538</v>
      </c>
      <c r="K9" s="10" t="s">
        <v>576</v>
      </c>
      <c r="L9" s="10" t="str">
        <f>HYPERLINK("https://he-eppat.vercel.app/Backlog-HE-TERA-Prototype.html","https://he-eppat.vercel.app/Backlog-HE-TERA-Prototype.html")</f>
        <v>https://he-eppat.vercel.app/Backlog-HE-TERA-Prototype.html</v>
      </c>
      <c r="M9" s="10" t="s">
        <v>577</v>
      </c>
      <c r="N9" s="12" t="s">
        <v>541</v>
      </c>
      <c r="O9" s="12" t="s">
        <v>27</v>
      </c>
      <c r="P9" s="13">
        <v>46318</v>
      </c>
    </row>
    <row r="10" spans="1:16" x14ac:dyDescent="0.25">
      <c r="A10" s="14">
        <v>6</v>
      </c>
      <c r="B10" s="15" t="s">
        <v>578</v>
      </c>
      <c r="C10" s="14" t="s">
        <v>553</v>
      </c>
      <c r="D10" s="14" t="s">
        <v>436</v>
      </c>
      <c r="E10" s="14" t="s">
        <v>579</v>
      </c>
      <c r="F10" s="14" t="s">
        <v>580</v>
      </c>
      <c r="G10" s="14" t="s">
        <v>581</v>
      </c>
      <c r="H10" s="14" t="s">
        <v>582</v>
      </c>
      <c r="I10" s="14" t="s">
        <v>558</v>
      </c>
      <c r="J10" s="14" t="s">
        <v>538</v>
      </c>
      <c r="K10" s="14" t="s">
        <v>576</v>
      </c>
      <c r="L10" s="14" t="str">
        <f>HYPERLINK("https://he-eppat.vercel.app/Backlog-HE-TERA-Prototype.html","https://he-eppat.vercel.app/Backlog-HE-TERA-Prototype.html")</f>
        <v>https://he-eppat.vercel.app/Backlog-HE-TERA-Prototype.html</v>
      </c>
      <c r="M10" s="14" t="s">
        <v>583</v>
      </c>
      <c r="N10" s="12" t="s">
        <v>541</v>
      </c>
      <c r="O10" s="12" t="s">
        <v>27</v>
      </c>
      <c r="P10" s="16">
        <v>46318</v>
      </c>
    </row>
    <row r="11" spans="1:16" x14ac:dyDescent="0.25">
      <c r="A11" s="10">
        <v>7</v>
      </c>
      <c r="B11" s="11" t="s">
        <v>584</v>
      </c>
      <c r="C11" s="10" t="s">
        <v>553</v>
      </c>
      <c r="D11" s="10" t="s">
        <v>436</v>
      </c>
      <c r="E11" s="10" t="s">
        <v>585</v>
      </c>
      <c r="F11" s="10" t="s">
        <v>586</v>
      </c>
      <c r="G11" s="10" t="s">
        <v>587</v>
      </c>
      <c r="H11" s="10" t="s">
        <v>588</v>
      </c>
      <c r="I11" s="10" t="s">
        <v>589</v>
      </c>
      <c r="J11" s="10" t="s">
        <v>538</v>
      </c>
      <c r="K11" s="10" t="s">
        <v>576</v>
      </c>
      <c r="L11" s="10" t="str">
        <f>HYPERLINK("https://he-eppat.vercel.app/Backlog-HE-TERA-Prototype.html","https://he-eppat.vercel.app/Backlog-HE-TERA-Prototype.html")</f>
        <v>https://he-eppat.vercel.app/Backlog-HE-TERA-Prototype.html</v>
      </c>
      <c r="M11" s="10" t="s">
        <v>590</v>
      </c>
      <c r="N11" s="12" t="s">
        <v>541</v>
      </c>
      <c r="O11" s="12" t="s">
        <v>27</v>
      </c>
      <c r="P11" s="13">
        <v>46318</v>
      </c>
    </row>
    <row r="12" spans="1:16" x14ac:dyDescent="0.25">
      <c r="A12" s="14">
        <v>8</v>
      </c>
      <c r="B12" s="15" t="s">
        <v>591</v>
      </c>
      <c r="C12" s="14" t="s">
        <v>553</v>
      </c>
      <c r="D12" s="14" t="s">
        <v>436</v>
      </c>
      <c r="E12" s="14" t="s">
        <v>592</v>
      </c>
      <c r="F12" s="14" t="s">
        <v>593</v>
      </c>
      <c r="G12" s="14" t="s">
        <v>594</v>
      </c>
      <c r="H12" s="14" t="s">
        <v>595</v>
      </c>
      <c r="I12" s="14" t="s">
        <v>596</v>
      </c>
      <c r="J12" s="14" t="s">
        <v>538</v>
      </c>
      <c r="K12" s="14" t="s">
        <v>576</v>
      </c>
      <c r="L12" s="14" t="str">
        <f>HYPERLINK("https://he-eppat.vercel.app/Backlog-HE-TERA-Prototype.html","https://he-eppat.vercel.app/Backlog-HE-TERA-Prototype.html")</f>
        <v>https://he-eppat.vercel.app/Backlog-HE-TERA-Prototype.html</v>
      </c>
      <c r="M12" s="14" t="s">
        <v>597</v>
      </c>
      <c r="N12" s="12" t="s">
        <v>541</v>
      </c>
      <c r="O12" s="12" t="s">
        <v>27</v>
      </c>
      <c r="P12" s="16">
        <v>46318</v>
      </c>
    </row>
    <row r="13" spans="1:16" x14ac:dyDescent="0.25">
      <c r="A13" s="10">
        <v>9</v>
      </c>
      <c r="B13" s="11" t="s">
        <v>598</v>
      </c>
      <c r="C13" s="10" t="s">
        <v>553</v>
      </c>
      <c r="D13" s="10" t="s">
        <v>436</v>
      </c>
      <c r="E13" s="10" t="s">
        <v>599</v>
      </c>
      <c r="F13" s="10" t="s">
        <v>600</v>
      </c>
      <c r="G13" s="10" t="s">
        <v>601</v>
      </c>
      <c r="H13" s="10" t="s">
        <v>602</v>
      </c>
      <c r="I13" s="10" t="s">
        <v>596</v>
      </c>
      <c r="J13" s="10" t="s">
        <v>567</v>
      </c>
      <c r="K13" s="10" t="s">
        <v>576</v>
      </c>
      <c r="L13" s="10" t="str">
        <f>HYPERLINK("https://he-eppat.vercel.app/Backlog-HE-TERA-Prototype.html","https://he-eppat.vercel.app/Backlog-HE-TERA-Prototype.html")</f>
        <v>https://he-eppat.vercel.app/Backlog-HE-TERA-Prototype.html</v>
      </c>
      <c r="M13" s="10" t="s">
        <v>603</v>
      </c>
      <c r="N13" s="12" t="s">
        <v>550</v>
      </c>
      <c r="O13" s="12" t="s">
        <v>604</v>
      </c>
      <c r="P13" s="13">
        <v>46318</v>
      </c>
    </row>
    <row r="14" spans="1:16" x14ac:dyDescent="0.25">
      <c r="A14" s="14">
        <v>10</v>
      </c>
      <c r="B14" s="15" t="s">
        <v>605</v>
      </c>
      <c r="C14" s="14" t="s">
        <v>553</v>
      </c>
      <c r="D14" s="14" t="s">
        <v>411</v>
      </c>
      <c r="E14" s="14" t="s">
        <v>606</v>
      </c>
      <c r="F14" s="14" t="s">
        <v>607</v>
      </c>
      <c r="G14" s="14" t="s">
        <v>608</v>
      </c>
      <c r="H14" s="14" t="s">
        <v>609</v>
      </c>
      <c r="I14" s="14" t="s">
        <v>610</v>
      </c>
      <c r="J14" s="14" t="s">
        <v>538</v>
      </c>
      <c r="K14" s="14" t="s">
        <v>611</v>
      </c>
      <c r="L14" s="14" t="str">
        <f>HYPERLINK("https://he-eppat.vercel.app/Backlog-HE-ORDER-Prototype.html","https://he-eppat.vercel.app/Backlog-HE-ORDER-Prototype.html")</f>
        <v>https://he-eppat.vercel.app/Backlog-HE-ORDER-Prototype.html</v>
      </c>
      <c r="M14" s="14" t="s">
        <v>612</v>
      </c>
      <c r="N14" s="12" t="s">
        <v>541</v>
      </c>
      <c r="O14" s="12" t="s">
        <v>613</v>
      </c>
      <c r="P14" s="16">
        <v>46321</v>
      </c>
    </row>
    <row r="15" spans="1:16" x14ac:dyDescent="0.25">
      <c r="A15" s="10">
        <v>11</v>
      </c>
      <c r="B15" s="11" t="s">
        <v>614</v>
      </c>
      <c r="C15" s="10" t="s">
        <v>553</v>
      </c>
      <c r="D15" s="10" t="s">
        <v>411</v>
      </c>
      <c r="E15" s="10" t="s">
        <v>615</v>
      </c>
      <c r="F15" s="10" t="s">
        <v>616</v>
      </c>
      <c r="G15" s="10" t="s">
        <v>617</v>
      </c>
      <c r="H15" s="10" t="s">
        <v>618</v>
      </c>
      <c r="I15" s="10" t="s">
        <v>619</v>
      </c>
      <c r="J15" s="10" t="s">
        <v>538</v>
      </c>
      <c r="K15" s="10" t="s">
        <v>620</v>
      </c>
      <c r="L15" s="10" t="str">
        <f>HYPERLINK("https://he-eppat.vercel.app/Backlog-HE-ORDER-Prototype.html","https://he-eppat.vercel.app/Backlog-HE-ORDER-Prototype.html")</f>
        <v>https://he-eppat.vercel.app/Backlog-HE-ORDER-Prototype.html</v>
      </c>
      <c r="M15" s="10" t="s">
        <v>621</v>
      </c>
      <c r="N15" s="12" t="s">
        <v>541</v>
      </c>
      <c r="O15" s="12" t="s">
        <v>27</v>
      </c>
      <c r="P15" s="13">
        <v>46321</v>
      </c>
    </row>
    <row r="16" spans="1:16" x14ac:dyDescent="0.25">
      <c r="A16" s="14">
        <v>12</v>
      </c>
      <c r="B16" s="15" t="s">
        <v>622</v>
      </c>
      <c r="C16" s="14" t="s">
        <v>553</v>
      </c>
      <c r="D16" s="14" t="s">
        <v>411</v>
      </c>
      <c r="E16" s="14" t="s">
        <v>623</v>
      </c>
      <c r="F16" s="14" t="s">
        <v>624</v>
      </c>
      <c r="G16" s="14" t="s">
        <v>625</v>
      </c>
      <c r="H16" s="14" t="s">
        <v>626</v>
      </c>
      <c r="I16" s="14" t="s">
        <v>610</v>
      </c>
      <c r="J16" s="14" t="s">
        <v>567</v>
      </c>
      <c r="K16" s="14" t="s">
        <v>627</v>
      </c>
      <c r="L16" s="14" t="str">
        <f>HYPERLINK("https://he-eppat.vercel.app/Backlog-HE-ORDER-Prototype.html","https://he-eppat.vercel.app/Backlog-HE-ORDER-Prototype.html")</f>
        <v>https://he-eppat.vercel.app/Backlog-HE-ORDER-Prototype.html</v>
      </c>
      <c r="M16" s="14" t="s">
        <v>628</v>
      </c>
      <c r="N16" s="12" t="s">
        <v>541</v>
      </c>
      <c r="O16" s="12" t="s">
        <v>629</v>
      </c>
      <c r="P16" s="16">
        <v>46321</v>
      </c>
    </row>
    <row r="17" spans="1:16" x14ac:dyDescent="0.25">
      <c r="A17" s="10">
        <v>13</v>
      </c>
      <c r="B17" s="11" t="s">
        <v>322</v>
      </c>
      <c r="C17" s="10" t="s">
        <v>553</v>
      </c>
      <c r="D17" s="10" t="s">
        <v>411</v>
      </c>
      <c r="E17" s="10" t="s">
        <v>630</v>
      </c>
      <c r="F17" s="10" t="s">
        <v>631</v>
      </c>
      <c r="G17" s="10" t="s">
        <v>632</v>
      </c>
      <c r="H17" s="10" t="s">
        <v>633</v>
      </c>
      <c r="I17" s="10" t="s">
        <v>619</v>
      </c>
      <c r="J17" s="10" t="s">
        <v>567</v>
      </c>
      <c r="K17" s="10" t="s">
        <v>634</v>
      </c>
      <c r="L17" s="10" t="str">
        <f>HYPERLINK("https://he-eppat.vercel.app/Backlog-HE-ORDER-Prototype.html","https://he-eppat.vercel.app/Backlog-HE-ORDER-Prototype.html")</f>
        <v>https://he-eppat.vercel.app/Backlog-HE-ORDER-Prototype.html</v>
      </c>
      <c r="M17" s="10" t="s">
        <v>635</v>
      </c>
      <c r="N17" s="12" t="s">
        <v>541</v>
      </c>
      <c r="O17" s="12" t="s">
        <v>27</v>
      </c>
      <c r="P17" s="13">
        <v>46321</v>
      </c>
    </row>
    <row r="18" spans="1:16" x14ac:dyDescent="0.25">
      <c r="A18" s="14">
        <v>14</v>
      </c>
      <c r="B18" s="15" t="s">
        <v>121</v>
      </c>
      <c r="C18" s="14" t="s">
        <v>553</v>
      </c>
      <c r="D18" s="14" t="s">
        <v>411</v>
      </c>
      <c r="E18" s="14" t="s">
        <v>636</v>
      </c>
      <c r="F18" s="14" t="s">
        <v>637</v>
      </c>
      <c r="G18" s="14" t="s">
        <v>638</v>
      </c>
      <c r="H18" s="14" t="s">
        <v>639</v>
      </c>
      <c r="I18" s="14" t="s">
        <v>640</v>
      </c>
      <c r="J18" s="14" t="s">
        <v>641</v>
      </c>
      <c r="K18" s="14" t="s">
        <v>634</v>
      </c>
      <c r="L18" s="14" t="str">
        <f>HYPERLINK("https://he-eppat.vercel.app/Backlog-HE-ORDER-Prototype.html","https://he-eppat.vercel.app/Backlog-HE-ORDER-Prototype.html")</f>
        <v>https://he-eppat.vercel.app/Backlog-HE-ORDER-Prototype.html</v>
      </c>
      <c r="M18" s="14" t="s">
        <v>642</v>
      </c>
      <c r="N18" s="12" t="s">
        <v>541</v>
      </c>
      <c r="O18" s="12" t="s">
        <v>27</v>
      </c>
      <c r="P18" s="16">
        <v>46321</v>
      </c>
    </row>
    <row r="19" spans="1:16" x14ac:dyDescent="0.25">
      <c r="A19" s="10">
        <v>15</v>
      </c>
      <c r="B19" s="11" t="s">
        <v>643</v>
      </c>
      <c r="C19" s="10" t="s">
        <v>553</v>
      </c>
      <c r="D19" s="10" t="s">
        <v>411</v>
      </c>
      <c r="E19" s="10" t="s">
        <v>644</v>
      </c>
      <c r="F19" s="10" t="s">
        <v>645</v>
      </c>
      <c r="G19" s="10" t="s">
        <v>646</v>
      </c>
      <c r="H19" s="10" t="s">
        <v>647</v>
      </c>
      <c r="I19" s="10" t="s">
        <v>648</v>
      </c>
      <c r="J19" s="10" t="s">
        <v>538</v>
      </c>
      <c r="K19" s="10" t="s">
        <v>611</v>
      </c>
      <c r="L19" s="10" t="str">
        <f>HYPERLINK("https://he-eppat.vercel.app/Backlog-HE-ORDER-Prototype.html","https://he-eppat.vercel.app/Backlog-HE-ORDER-Prototype.html")</f>
        <v>https://he-eppat.vercel.app/Backlog-HE-ORDER-Prototype.html</v>
      </c>
      <c r="M19" s="10" t="s">
        <v>649</v>
      </c>
      <c r="N19" s="12" t="s">
        <v>541</v>
      </c>
      <c r="O19" s="12" t="s">
        <v>650</v>
      </c>
      <c r="P19" s="13">
        <v>46321</v>
      </c>
    </row>
    <row r="20" spans="1:16" x14ac:dyDescent="0.25">
      <c r="A20" s="14">
        <v>16</v>
      </c>
      <c r="B20" s="15" t="s">
        <v>135</v>
      </c>
      <c r="C20" s="14" t="s">
        <v>553</v>
      </c>
      <c r="D20" s="14" t="s">
        <v>411</v>
      </c>
      <c r="E20" s="14" t="s">
        <v>651</v>
      </c>
      <c r="F20" s="14" t="s">
        <v>652</v>
      </c>
      <c r="G20" s="14" t="s">
        <v>653</v>
      </c>
      <c r="H20" s="14" t="s">
        <v>654</v>
      </c>
      <c r="I20" s="14" t="s">
        <v>648</v>
      </c>
      <c r="J20" s="14" t="s">
        <v>567</v>
      </c>
      <c r="K20" s="14" t="s">
        <v>655</v>
      </c>
      <c r="L20" s="14" t="str">
        <f>HYPERLINK("https://he-eppat.vercel.app/Backlog-HE-ORDER-Prototype.html","https://he-eppat.vercel.app/Backlog-HE-ORDER-Prototype.html")</f>
        <v>https://he-eppat.vercel.app/Backlog-HE-ORDER-Prototype.html</v>
      </c>
      <c r="M20" s="14" t="s">
        <v>656</v>
      </c>
      <c r="N20" s="12" t="s">
        <v>541</v>
      </c>
      <c r="O20" s="12" t="s">
        <v>27</v>
      </c>
      <c r="P20" s="16">
        <v>46321</v>
      </c>
    </row>
    <row r="21" spans="1:16" x14ac:dyDescent="0.25">
      <c r="A21" s="10">
        <v>17</v>
      </c>
      <c r="B21" s="11" t="s">
        <v>657</v>
      </c>
      <c r="C21" s="10" t="s">
        <v>553</v>
      </c>
      <c r="D21" s="10" t="s">
        <v>411</v>
      </c>
      <c r="E21" s="10" t="s">
        <v>658</v>
      </c>
      <c r="F21" s="10" t="s">
        <v>659</v>
      </c>
      <c r="G21" s="10" t="s">
        <v>660</v>
      </c>
      <c r="H21" s="10" t="s">
        <v>661</v>
      </c>
      <c r="I21" s="10" t="s">
        <v>648</v>
      </c>
      <c r="J21" s="10" t="s">
        <v>641</v>
      </c>
      <c r="K21" s="10" t="s">
        <v>662</v>
      </c>
      <c r="L21" s="10" t="str">
        <f>HYPERLINK("https://he-eppat.vercel.app/Backlog-HE-ORDER-Prototype.html","https://he-eppat.vercel.app/Backlog-HE-ORDER-Prototype.html")</f>
        <v>https://he-eppat.vercel.app/Backlog-HE-ORDER-Prototype.html</v>
      </c>
      <c r="M21" s="10" t="s">
        <v>663</v>
      </c>
      <c r="N21" s="12" t="s">
        <v>541</v>
      </c>
      <c r="O21" s="12" t="s">
        <v>27</v>
      </c>
      <c r="P21" s="13">
        <v>46321</v>
      </c>
    </row>
    <row r="22" spans="1:16" x14ac:dyDescent="0.25">
      <c r="A22" s="14">
        <v>18</v>
      </c>
      <c r="B22" s="15" t="s">
        <v>664</v>
      </c>
      <c r="C22" s="14" t="s">
        <v>553</v>
      </c>
      <c r="D22" s="14" t="s">
        <v>665</v>
      </c>
      <c r="E22" s="14" t="s">
        <v>666</v>
      </c>
      <c r="F22" s="14" t="s">
        <v>667</v>
      </c>
      <c r="G22" s="14" t="s">
        <v>668</v>
      </c>
      <c r="H22" s="14" t="s">
        <v>669</v>
      </c>
      <c r="I22" s="14" t="s">
        <v>670</v>
      </c>
      <c r="J22" s="14" t="s">
        <v>567</v>
      </c>
      <c r="K22" s="14" t="s">
        <v>671</v>
      </c>
      <c r="L22" s="14" t="str">
        <f>HYPERLINK("https://he-eppat.vercel.app/Backlog-HE-MINUTA-Prototype.html","https://he-eppat.vercel.app/Backlog-HE-MINUTA-Prototype.html")</f>
        <v>https://he-eppat.vercel.app/Backlog-HE-MINUTA-Prototype.html</v>
      </c>
      <c r="M22" s="14" t="s">
        <v>672</v>
      </c>
      <c r="N22" s="12" t="s">
        <v>541</v>
      </c>
      <c r="O22" s="12" t="s">
        <v>27</v>
      </c>
      <c r="P22" s="16">
        <v>46321</v>
      </c>
    </row>
    <row r="23" spans="1:16" x14ac:dyDescent="0.25">
      <c r="A23" s="10">
        <v>19</v>
      </c>
      <c r="B23" s="11" t="s">
        <v>673</v>
      </c>
      <c r="C23" s="10" t="s">
        <v>553</v>
      </c>
      <c r="D23" s="10" t="s">
        <v>665</v>
      </c>
      <c r="E23" s="10" t="s">
        <v>674</v>
      </c>
      <c r="F23" s="10" t="s">
        <v>675</v>
      </c>
      <c r="G23" s="10" t="s">
        <v>676</v>
      </c>
      <c r="H23" s="10" t="s">
        <v>677</v>
      </c>
      <c r="I23" s="10" t="s">
        <v>670</v>
      </c>
      <c r="J23" s="10" t="s">
        <v>567</v>
      </c>
      <c r="K23" s="10" t="s">
        <v>678</v>
      </c>
      <c r="L23" s="10" t="str">
        <f>HYPERLINK("https://he-eppat.vercel.app/Backlog-HE-MINUTA-Prototype.html","https://he-eppat.vercel.app/Backlog-HE-MINUTA-Prototype.html")</f>
        <v>https://he-eppat.vercel.app/Backlog-HE-MINUTA-Prototype.html</v>
      </c>
      <c r="M23" s="10" t="s">
        <v>679</v>
      </c>
      <c r="N23" s="12" t="s">
        <v>541</v>
      </c>
      <c r="O23" s="12" t="s">
        <v>27</v>
      </c>
      <c r="P23" s="13">
        <v>46321</v>
      </c>
    </row>
    <row r="24" spans="1:16" x14ac:dyDescent="0.25">
      <c r="A24" s="14">
        <v>20</v>
      </c>
      <c r="B24" s="15" t="s">
        <v>680</v>
      </c>
      <c r="C24" s="14" t="s">
        <v>553</v>
      </c>
      <c r="D24" s="14" t="s">
        <v>665</v>
      </c>
      <c r="E24" s="14" t="s">
        <v>681</v>
      </c>
      <c r="F24" s="14" t="s">
        <v>682</v>
      </c>
      <c r="G24" s="14" t="s">
        <v>683</v>
      </c>
      <c r="H24" s="14" t="s">
        <v>684</v>
      </c>
      <c r="I24" s="14" t="s">
        <v>670</v>
      </c>
      <c r="J24" s="14" t="s">
        <v>538</v>
      </c>
      <c r="K24" s="14" t="s">
        <v>685</v>
      </c>
      <c r="L24" s="14" t="str">
        <f>HYPERLINK("https://he-eppat.vercel.app/Backlog-HE-MINUTA-Prototype.html","https://he-eppat.vercel.app/Backlog-HE-MINUTA-Prototype.html")</f>
        <v>https://he-eppat.vercel.app/Backlog-HE-MINUTA-Prototype.html</v>
      </c>
      <c r="M24" s="14" t="s">
        <v>686</v>
      </c>
      <c r="N24" s="12" t="s">
        <v>541</v>
      </c>
      <c r="O24" s="12" t="s">
        <v>27</v>
      </c>
      <c r="P24" s="16">
        <v>46321</v>
      </c>
    </row>
    <row r="25" spans="1:16" x14ac:dyDescent="0.25">
      <c r="A25" s="10">
        <v>21</v>
      </c>
      <c r="B25" s="11" t="s">
        <v>687</v>
      </c>
      <c r="C25" s="10" t="s">
        <v>553</v>
      </c>
      <c r="D25" s="10" t="s">
        <v>665</v>
      </c>
      <c r="E25" s="10" t="s">
        <v>688</v>
      </c>
      <c r="F25" s="10" t="s">
        <v>689</v>
      </c>
      <c r="G25" s="10" t="s">
        <v>690</v>
      </c>
      <c r="H25" s="10" t="s">
        <v>691</v>
      </c>
      <c r="I25" s="10" t="s">
        <v>692</v>
      </c>
      <c r="J25" s="10" t="s">
        <v>538</v>
      </c>
      <c r="K25" s="10" t="s">
        <v>693</v>
      </c>
      <c r="L25" s="10" t="str">
        <f>HYPERLINK("https://he-eppat.vercel.app/Backlog-HE-MINUTA-Prototype.html","https://he-eppat.vercel.app/Backlog-HE-MINUTA-Prototype.html")</f>
        <v>https://he-eppat.vercel.app/Backlog-HE-MINUTA-Prototype.html</v>
      </c>
      <c r="M25" s="10" t="s">
        <v>694</v>
      </c>
      <c r="N25" s="12" t="s">
        <v>541</v>
      </c>
      <c r="O25" s="12" t="s">
        <v>27</v>
      </c>
      <c r="P25" s="13">
        <v>46321</v>
      </c>
    </row>
    <row r="26" spans="1:16" x14ac:dyDescent="0.25">
      <c r="A26" s="14">
        <v>22</v>
      </c>
      <c r="B26" s="15" t="s">
        <v>695</v>
      </c>
      <c r="C26" s="14" t="s">
        <v>553</v>
      </c>
      <c r="D26" s="14" t="s">
        <v>665</v>
      </c>
      <c r="E26" s="14" t="s">
        <v>696</v>
      </c>
      <c r="F26" s="14" t="s">
        <v>697</v>
      </c>
      <c r="G26" s="14" t="s">
        <v>698</v>
      </c>
      <c r="H26" s="14" t="s">
        <v>699</v>
      </c>
      <c r="I26" s="14" t="s">
        <v>692</v>
      </c>
      <c r="J26" s="14" t="s">
        <v>538</v>
      </c>
      <c r="K26" s="14" t="s">
        <v>700</v>
      </c>
      <c r="L26" s="14" t="str">
        <f>HYPERLINK("https://he-eppat.vercel.app/Backlog-HE-MINUTA-Prototype.html","https://he-eppat.vercel.app/Backlog-HE-MINUTA-Prototype.html")</f>
        <v>https://he-eppat.vercel.app/Backlog-HE-MINUTA-Prototype.html</v>
      </c>
      <c r="M26" s="14" t="s">
        <v>701</v>
      </c>
      <c r="N26" s="12" t="s">
        <v>541</v>
      </c>
      <c r="O26" s="12" t="s">
        <v>702</v>
      </c>
      <c r="P26" s="16">
        <v>46321</v>
      </c>
    </row>
    <row r="27" spans="1:16" x14ac:dyDescent="0.25">
      <c r="A27" s="10">
        <v>23</v>
      </c>
      <c r="B27" s="11" t="s">
        <v>703</v>
      </c>
      <c r="C27" s="10" t="s">
        <v>553</v>
      </c>
      <c r="D27" s="10" t="s">
        <v>665</v>
      </c>
      <c r="E27" s="10" t="s">
        <v>704</v>
      </c>
      <c r="F27" s="10" t="s">
        <v>705</v>
      </c>
      <c r="G27" s="10" t="s">
        <v>706</v>
      </c>
      <c r="H27" s="10" t="s">
        <v>707</v>
      </c>
      <c r="I27" s="10" t="s">
        <v>708</v>
      </c>
      <c r="J27" s="10" t="s">
        <v>567</v>
      </c>
      <c r="K27" s="10" t="s">
        <v>709</v>
      </c>
      <c r="L27" s="10" t="str">
        <f>HYPERLINK("https://he-eppat.vercel.app/Backlog-HE-MINUTA-Prototype.html","https://he-eppat.vercel.app/Backlog-HE-MINUTA-Prototype.html")</f>
        <v>https://he-eppat.vercel.app/Backlog-HE-MINUTA-Prototype.html</v>
      </c>
      <c r="M27" s="10" t="s">
        <v>710</v>
      </c>
      <c r="N27" s="12" t="s">
        <v>541</v>
      </c>
      <c r="O27" s="12" t="s">
        <v>711</v>
      </c>
      <c r="P27" s="13">
        <v>46321</v>
      </c>
    </row>
    <row r="28" spans="1:16" x14ac:dyDescent="0.25">
      <c r="A28" s="14">
        <v>24</v>
      </c>
      <c r="B28" s="15" t="s">
        <v>712</v>
      </c>
      <c r="C28" s="14" t="s">
        <v>553</v>
      </c>
      <c r="D28" s="14" t="s">
        <v>665</v>
      </c>
      <c r="E28" s="14" t="s">
        <v>713</v>
      </c>
      <c r="F28" s="14" t="s">
        <v>714</v>
      </c>
      <c r="G28" s="14" t="s">
        <v>715</v>
      </c>
      <c r="H28" s="14" t="s">
        <v>716</v>
      </c>
      <c r="I28" s="14" t="s">
        <v>717</v>
      </c>
      <c r="J28" s="14" t="s">
        <v>567</v>
      </c>
      <c r="K28" s="14" t="s">
        <v>718</v>
      </c>
      <c r="L28" s="14" t="str">
        <f>HYPERLINK("https://he-eppat.vercel.app/Backlog-HE-MINUTA-V2-Prototype.html","https://he-eppat.vercel.app/Backlog-HE-MINUTA-V2-Prototype.html")</f>
        <v>https://he-eppat.vercel.app/Backlog-HE-MINUTA-V2-Prototype.html</v>
      </c>
      <c r="M28" s="14" t="s">
        <v>719</v>
      </c>
      <c r="N28" s="12" t="s">
        <v>541</v>
      </c>
      <c r="O28" s="12" t="s">
        <v>720</v>
      </c>
      <c r="P28" s="16">
        <v>46322</v>
      </c>
    </row>
    <row r="29" spans="1:16" x14ac:dyDescent="0.25">
      <c r="A29" s="10">
        <v>25</v>
      </c>
      <c r="B29" s="11" t="s">
        <v>721</v>
      </c>
      <c r="C29" s="10" t="s">
        <v>553</v>
      </c>
      <c r="D29" s="10" t="s">
        <v>722</v>
      </c>
      <c r="E29" s="10" t="s">
        <v>723</v>
      </c>
      <c r="F29" s="10" t="s">
        <v>724</v>
      </c>
      <c r="G29" s="10" t="s">
        <v>725</v>
      </c>
      <c r="H29" s="10" t="s">
        <v>726</v>
      </c>
      <c r="I29" s="10" t="s">
        <v>727</v>
      </c>
      <c r="J29" s="10" t="s">
        <v>538</v>
      </c>
      <c r="K29" s="10" t="s">
        <v>728</v>
      </c>
      <c r="L29" s="10" t="str">
        <f>HYPERLINK("https://he-eppat.vercel.app/Backlog-HE-EAW-Prototype.html","https://he-eppat.vercel.app/Backlog-HE-EAW-Prototype.html")</f>
        <v>https://he-eppat.vercel.app/Backlog-HE-EAW-Prototype.html</v>
      </c>
      <c r="M29" s="10" t="s">
        <v>729</v>
      </c>
      <c r="N29" s="12" t="s">
        <v>541</v>
      </c>
      <c r="O29" s="12" t="s">
        <v>27</v>
      </c>
      <c r="P29" s="13">
        <v>46321</v>
      </c>
    </row>
    <row r="30" spans="1:16" x14ac:dyDescent="0.25">
      <c r="A30" s="14">
        <v>26</v>
      </c>
      <c r="B30" s="15" t="s">
        <v>730</v>
      </c>
      <c r="C30" s="14" t="s">
        <v>553</v>
      </c>
      <c r="D30" s="14" t="s">
        <v>722</v>
      </c>
      <c r="E30" s="14" t="s">
        <v>731</v>
      </c>
      <c r="F30" s="14" t="s">
        <v>732</v>
      </c>
      <c r="G30" s="14" t="s">
        <v>733</v>
      </c>
      <c r="H30" s="14" t="s">
        <v>734</v>
      </c>
      <c r="I30" s="14" t="s">
        <v>727</v>
      </c>
      <c r="J30" s="14" t="s">
        <v>538</v>
      </c>
      <c r="K30" s="14" t="s">
        <v>735</v>
      </c>
      <c r="L30" s="14" t="str">
        <f>HYPERLINK("https://he-eppat.vercel.app/Backlog-HE-EAW-Prototype.html","https://he-eppat.vercel.app/Backlog-HE-EAW-Prototype.html")</f>
        <v>https://he-eppat.vercel.app/Backlog-HE-EAW-Prototype.html</v>
      </c>
      <c r="M30" s="14" t="s">
        <v>736</v>
      </c>
      <c r="N30" s="12" t="s">
        <v>541</v>
      </c>
      <c r="O30" s="12" t="s">
        <v>27</v>
      </c>
      <c r="P30" s="16">
        <v>46321</v>
      </c>
    </row>
    <row r="31" spans="1:16" x14ac:dyDescent="0.25">
      <c r="A31" s="10">
        <v>27</v>
      </c>
      <c r="B31" s="11" t="s">
        <v>737</v>
      </c>
      <c r="C31" s="10" t="s">
        <v>553</v>
      </c>
      <c r="D31" s="10" t="s">
        <v>722</v>
      </c>
      <c r="E31" s="10" t="s">
        <v>738</v>
      </c>
      <c r="F31" s="10" t="s">
        <v>739</v>
      </c>
      <c r="G31" s="10" t="s">
        <v>740</v>
      </c>
      <c r="H31" s="10" t="s">
        <v>741</v>
      </c>
      <c r="I31" s="10" t="s">
        <v>727</v>
      </c>
      <c r="J31" s="10" t="s">
        <v>538</v>
      </c>
      <c r="K31" s="10" t="s">
        <v>742</v>
      </c>
      <c r="L31" s="10" t="str">
        <f>HYPERLINK("https://he-eppat.vercel.app/Backlog-HE-EAW-Prototype.html","https://he-eppat.vercel.app/Backlog-HE-EAW-Prototype.html")</f>
        <v>https://he-eppat.vercel.app/Backlog-HE-EAW-Prototype.html</v>
      </c>
      <c r="M31" s="10" t="s">
        <v>743</v>
      </c>
      <c r="N31" s="12" t="s">
        <v>541</v>
      </c>
      <c r="O31" s="12" t="s">
        <v>744</v>
      </c>
      <c r="P31" s="13">
        <v>46321</v>
      </c>
    </row>
    <row r="32" spans="1:16" x14ac:dyDescent="0.25">
      <c r="A32" s="14">
        <v>28</v>
      </c>
      <c r="B32" s="15" t="s">
        <v>745</v>
      </c>
      <c r="C32" s="14" t="s">
        <v>553</v>
      </c>
      <c r="D32" s="14" t="s">
        <v>722</v>
      </c>
      <c r="E32" s="14" t="s">
        <v>746</v>
      </c>
      <c r="F32" s="14" t="s">
        <v>747</v>
      </c>
      <c r="G32" s="14" t="s">
        <v>748</v>
      </c>
      <c r="H32" s="14" t="s">
        <v>749</v>
      </c>
      <c r="I32" s="14" t="s">
        <v>750</v>
      </c>
      <c r="J32" s="14" t="s">
        <v>538</v>
      </c>
      <c r="K32" s="14" t="s">
        <v>751</v>
      </c>
      <c r="L32" s="14" t="str">
        <f>HYPERLINK("https://he-eppat.vercel.app/Backlog-HE-EAW-Prototype.html","https://he-eppat.vercel.app/Backlog-HE-EAW-Prototype.html")</f>
        <v>https://he-eppat.vercel.app/Backlog-HE-EAW-Prototype.html</v>
      </c>
      <c r="M32" s="14" t="s">
        <v>752</v>
      </c>
      <c r="N32" s="12" t="s">
        <v>541</v>
      </c>
      <c r="O32" s="12" t="s">
        <v>27</v>
      </c>
      <c r="P32" s="16">
        <v>46321</v>
      </c>
    </row>
    <row r="33" spans="1:16" x14ac:dyDescent="0.25">
      <c r="A33" s="10">
        <v>29</v>
      </c>
      <c r="B33" s="11" t="s">
        <v>753</v>
      </c>
      <c r="C33" s="10" t="s">
        <v>553</v>
      </c>
      <c r="D33" s="10" t="s">
        <v>722</v>
      </c>
      <c r="E33" s="10" t="s">
        <v>754</v>
      </c>
      <c r="F33" s="10" t="s">
        <v>755</v>
      </c>
      <c r="G33" s="10" t="s">
        <v>756</v>
      </c>
      <c r="H33" s="10" t="s">
        <v>757</v>
      </c>
      <c r="I33" s="10" t="s">
        <v>750</v>
      </c>
      <c r="J33" s="10" t="s">
        <v>567</v>
      </c>
      <c r="K33" s="10" t="s">
        <v>758</v>
      </c>
      <c r="L33" s="10" t="str">
        <f>HYPERLINK("https://he-eppat.vercel.app/Backlog-HE-EAW-Prototype.html","https://he-eppat.vercel.app/Backlog-HE-EAW-Prototype.html")</f>
        <v>https://he-eppat.vercel.app/Backlog-HE-EAW-Prototype.html</v>
      </c>
      <c r="M33" s="10" t="s">
        <v>759</v>
      </c>
      <c r="N33" s="12" t="s">
        <v>541</v>
      </c>
      <c r="O33" s="12" t="s">
        <v>27</v>
      </c>
      <c r="P33" s="13">
        <v>46321</v>
      </c>
    </row>
    <row r="34" spans="1:16" x14ac:dyDescent="0.25">
      <c r="A34" s="14">
        <v>30</v>
      </c>
      <c r="B34" s="15" t="s">
        <v>760</v>
      </c>
      <c r="C34" s="14" t="s">
        <v>553</v>
      </c>
      <c r="D34" s="14" t="s">
        <v>722</v>
      </c>
      <c r="E34" s="14" t="s">
        <v>761</v>
      </c>
      <c r="F34" s="14" t="s">
        <v>762</v>
      </c>
      <c r="G34" s="14" t="s">
        <v>763</v>
      </c>
      <c r="H34" s="14" t="s">
        <v>647</v>
      </c>
      <c r="I34" s="14" t="s">
        <v>764</v>
      </c>
      <c r="J34" s="14" t="s">
        <v>567</v>
      </c>
      <c r="K34" s="14" t="s">
        <v>765</v>
      </c>
      <c r="L34" s="14" t="str">
        <f>HYPERLINK("https://he-eppat.vercel.app/Backlog-HE-EAW-Prototype.html","https://he-eppat.vercel.app/Backlog-HE-EAW-Prototype.html")</f>
        <v>https://he-eppat.vercel.app/Backlog-HE-EAW-Prototype.html</v>
      </c>
      <c r="M34" s="14" t="s">
        <v>766</v>
      </c>
      <c r="N34" s="12" t="s">
        <v>541</v>
      </c>
      <c r="O34" s="12" t="s">
        <v>27</v>
      </c>
      <c r="P34" s="16">
        <v>46321</v>
      </c>
    </row>
    <row r="35" spans="1:16" x14ac:dyDescent="0.25">
      <c r="A35" s="10">
        <v>31</v>
      </c>
      <c r="B35" s="11" t="s">
        <v>767</v>
      </c>
      <c r="C35" s="10" t="s">
        <v>553</v>
      </c>
      <c r="D35" s="10" t="s">
        <v>768</v>
      </c>
      <c r="E35" s="10" t="s">
        <v>769</v>
      </c>
      <c r="F35" s="10" t="s">
        <v>770</v>
      </c>
      <c r="G35" s="10" t="s">
        <v>771</v>
      </c>
      <c r="H35" s="10" t="s">
        <v>772</v>
      </c>
      <c r="I35" s="10" t="s">
        <v>773</v>
      </c>
      <c r="J35" s="10" t="s">
        <v>538</v>
      </c>
      <c r="K35" s="10" t="s">
        <v>774</v>
      </c>
      <c r="L35" s="10" t="str">
        <f>HYPERLINK("https://he-eppat.vercel.app/Backlog-HE-CA-Prototype.html","https://he-eppat.vercel.app/Backlog-HE-CA-Prototype.html")</f>
        <v>https://he-eppat.vercel.app/Backlog-HE-CA-Prototype.html</v>
      </c>
      <c r="M35" s="10" t="s">
        <v>775</v>
      </c>
      <c r="N35" s="12" t="s">
        <v>541</v>
      </c>
      <c r="O35" s="12" t="s">
        <v>776</v>
      </c>
      <c r="P35" s="13">
        <v>46321</v>
      </c>
    </row>
    <row r="36" spans="1:16" x14ac:dyDescent="0.25">
      <c r="A36" s="14">
        <v>32</v>
      </c>
      <c r="B36" s="15" t="s">
        <v>777</v>
      </c>
      <c r="C36" s="14" t="s">
        <v>553</v>
      </c>
      <c r="D36" s="14" t="s">
        <v>768</v>
      </c>
      <c r="E36" s="14" t="s">
        <v>778</v>
      </c>
      <c r="F36" s="14" t="s">
        <v>779</v>
      </c>
      <c r="G36" s="14" t="s">
        <v>780</v>
      </c>
      <c r="H36" s="14" t="s">
        <v>781</v>
      </c>
      <c r="I36" s="14" t="s">
        <v>782</v>
      </c>
      <c r="J36" s="14" t="s">
        <v>538</v>
      </c>
      <c r="K36" s="14" t="s">
        <v>783</v>
      </c>
      <c r="L36" s="14" t="str">
        <f>HYPERLINK("https://he-eppat.vercel.app/Backlog-HE-CA-Prototype.html","https://he-eppat.vercel.app/Backlog-HE-CA-Prototype.html")</f>
        <v>https://he-eppat.vercel.app/Backlog-HE-CA-Prototype.html</v>
      </c>
      <c r="M36" s="14" t="s">
        <v>784</v>
      </c>
      <c r="N36" s="12" t="s">
        <v>541</v>
      </c>
      <c r="O36" s="12" t="s">
        <v>27</v>
      </c>
      <c r="P36" s="16">
        <v>46321</v>
      </c>
    </row>
    <row r="37" spans="1:16" x14ac:dyDescent="0.25">
      <c r="A37" s="10">
        <v>33</v>
      </c>
      <c r="B37" s="11" t="s">
        <v>785</v>
      </c>
      <c r="C37" s="10" t="s">
        <v>553</v>
      </c>
      <c r="D37" s="10" t="s">
        <v>768</v>
      </c>
      <c r="E37" s="10" t="s">
        <v>786</v>
      </c>
      <c r="F37" s="10" t="s">
        <v>787</v>
      </c>
      <c r="G37" s="10" t="s">
        <v>788</v>
      </c>
      <c r="H37" s="10" t="s">
        <v>669</v>
      </c>
      <c r="I37" s="10" t="s">
        <v>789</v>
      </c>
      <c r="J37" s="10" t="s">
        <v>567</v>
      </c>
      <c r="K37" s="10" t="s">
        <v>774</v>
      </c>
      <c r="L37" s="10" t="str">
        <f>HYPERLINK("https://he-eppat.vercel.app/Backlog-HE-CA-Prototype.html","https://he-eppat.vercel.app/Backlog-HE-CA-Prototype.html")</f>
        <v>https://he-eppat.vercel.app/Backlog-HE-CA-Prototype.html</v>
      </c>
      <c r="M37" s="10" t="s">
        <v>790</v>
      </c>
      <c r="N37" s="12" t="s">
        <v>541</v>
      </c>
      <c r="O37" s="12" t="s">
        <v>27</v>
      </c>
      <c r="P37" s="13">
        <v>46321</v>
      </c>
    </row>
    <row r="38" spans="1:16" x14ac:dyDescent="0.25">
      <c r="A38" s="14">
        <v>34</v>
      </c>
      <c r="B38" s="15" t="s">
        <v>791</v>
      </c>
      <c r="C38" s="14" t="s">
        <v>553</v>
      </c>
      <c r="D38" s="14" t="s">
        <v>768</v>
      </c>
      <c r="E38" s="14" t="s">
        <v>792</v>
      </c>
      <c r="F38" s="14" t="s">
        <v>793</v>
      </c>
      <c r="G38" s="14" t="s">
        <v>794</v>
      </c>
      <c r="H38" s="14" t="s">
        <v>757</v>
      </c>
      <c r="I38" s="14" t="s">
        <v>789</v>
      </c>
      <c r="J38" s="14" t="s">
        <v>538</v>
      </c>
      <c r="K38" s="14" t="s">
        <v>795</v>
      </c>
      <c r="L38" s="14" t="str">
        <f>HYPERLINK("https://he-eppat.vercel.app/Backlog-HE-CA-Prototype.html","https://he-eppat.vercel.app/Backlog-HE-CA-Prototype.html")</f>
        <v>https://he-eppat.vercel.app/Backlog-HE-CA-Prototype.html</v>
      </c>
      <c r="M38" s="14" t="s">
        <v>796</v>
      </c>
      <c r="N38" s="12" t="s">
        <v>541</v>
      </c>
      <c r="O38" s="12" t="s">
        <v>27</v>
      </c>
      <c r="P38" s="16">
        <v>46321</v>
      </c>
    </row>
    <row r="39" spans="1:16" x14ac:dyDescent="0.25">
      <c r="A39" s="10">
        <v>35</v>
      </c>
      <c r="B39" s="11" t="s">
        <v>797</v>
      </c>
      <c r="C39" s="10" t="s">
        <v>553</v>
      </c>
      <c r="D39" s="10" t="s">
        <v>768</v>
      </c>
      <c r="E39" s="10" t="s">
        <v>798</v>
      </c>
      <c r="F39" s="10" t="s">
        <v>799</v>
      </c>
      <c r="G39" s="10" t="s">
        <v>800</v>
      </c>
      <c r="H39" s="10" t="s">
        <v>726</v>
      </c>
      <c r="I39" s="10" t="s">
        <v>782</v>
      </c>
      <c r="J39" s="10" t="s">
        <v>567</v>
      </c>
      <c r="K39" s="10" t="s">
        <v>774</v>
      </c>
      <c r="L39" s="10" t="str">
        <f>HYPERLINK("https://he-eppat.vercel.app/Backlog-HE-CA-Prototype.html","https://he-eppat.vercel.app/Backlog-HE-CA-Prototype.html")</f>
        <v>https://he-eppat.vercel.app/Backlog-HE-CA-Prototype.html</v>
      </c>
      <c r="M39" s="10" t="s">
        <v>801</v>
      </c>
      <c r="N39" s="12" t="s">
        <v>541</v>
      </c>
      <c r="O39" s="12" t="s">
        <v>802</v>
      </c>
      <c r="P39" s="13">
        <v>46321</v>
      </c>
    </row>
    <row r="40" spans="1:16" x14ac:dyDescent="0.25">
      <c r="A40" s="14">
        <v>36</v>
      </c>
      <c r="B40" s="15" t="s">
        <v>803</v>
      </c>
      <c r="C40" s="14" t="s">
        <v>553</v>
      </c>
      <c r="D40" s="14" t="s">
        <v>768</v>
      </c>
      <c r="E40" s="14" t="s">
        <v>804</v>
      </c>
      <c r="F40" s="14" t="s">
        <v>805</v>
      </c>
      <c r="G40" s="14" t="s">
        <v>806</v>
      </c>
      <c r="H40" s="14" t="s">
        <v>807</v>
      </c>
      <c r="I40" s="14" t="s">
        <v>808</v>
      </c>
      <c r="J40" s="14" t="s">
        <v>567</v>
      </c>
      <c r="K40" s="14" t="s">
        <v>809</v>
      </c>
      <c r="L40" s="14" t="str">
        <f>HYPERLINK("https://he-eppat.vercel.app/Backlog-HE-CA-Prototype.html","https://he-eppat.vercel.app/Backlog-HE-CA-Prototype.html")</f>
        <v>https://he-eppat.vercel.app/Backlog-HE-CA-Prototype.html</v>
      </c>
      <c r="M40" s="14" t="s">
        <v>810</v>
      </c>
      <c r="N40" s="12" t="s">
        <v>541</v>
      </c>
      <c r="O40" s="12" t="s">
        <v>27</v>
      </c>
      <c r="P40" s="16">
        <v>46321</v>
      </c>
    </row>
    <row r="41" spans="1:16" x14ac:dyDescent="0.25">
      <c r="A41" s="10">
        <v>37</v>
      </c>
      <c r="B41" s="11" t="s">
        <v>811</v>
      </c>
      <c r="C41" s="10" t="s">
        <v>553</v>
      </c>
      <c r="D41" s="10" t="s">
        <v>768</v>
      </c>
      <c r="E41" s="10" t="s">
        <v>812</v>
      </c>
      <c r="F41" s="10" t="s">
        <v>813</v>
      </c>
      <c r="G41" s="10" t="s">
        <v>814</v>
      </c>
      <c r="H41" s="10" t="s">
        <v>815</v>
      </c>
      <c r="I41" s="10" t="s">
        <v>816</v>
      </c>
      <c r="J41" s="10" t="s">
        <v>538</v>
      </c>
      <c r="K41" s="10" t="s">
        <v>817</v>
      </c>
      <c r="L41" s="10" t="str">
        <f>HYPERLINK("https://he-eppat.vercel.app/Backlog-HE-CA-Prototype.html","https://he-eppat.vercel.app/Backlog-HE-CA-Prototype.html")</f>
        <v>https://he-eppat.vercel.app/Backlog-HE-CA-Prototype.html</v>
      </c>
      <c r="M41" s="10" t="s">
        <v>818</v>
      </c>
      <c r="N41" s="12" t="s">
        <v>541</v>
      </c>
      <c r="O41" s="12" t="s">
        <v>27</v>
      </c>
      <c r="P41" s="13">
        <v>46321</v>
      </c>
    </row>
    <row r="42" spans="1:16" x14ac:dyDescent="0.25">
      <c r="A42" s="14">
        <v>38</v>
      </c>
      <c r="B42" s="15" t="s">
        <v>819</v>
      </c>
      <c r="C42" s="14" t="s">
        <v>553</v>
      </c>
      <c r="D42" s="14" t="s">
        <v>768</v>
      </c>
      <c r="E42" s="14" t="s">
        <v>820</v>
      </c>
      <c r="F42" s="14" t="s">
        <v>821</v>
      </c>
      <c r="G42" s="14" t="s">
        <v>822</v>
      </c>
      <c r="H42" s="14" t="s">
        <v>823</v>
      </c>
      <c r="I42" s="14" t="s">
        <v>816</v>
      </c>
      <c r="J42" s="14" t="s">
        <v>567</v>
      </c>
      <c r="K42" s="14" t="s">
        <v>824</v>
      </c>
      <c r="L42" s="14" t="str">
        <f>HYPERLINK("https://he-eppat.vercel.app/Backlog-HE-CA-Prototype.html","https://he-eppat.vercel.app/Backlog-HE-CA-Prototype.html")</f>
        <v>https://he-eppat.vercel.app/Backlog-HE-CA-Prototype.html</v>
      </c>
      <c r="M42" s="14" t="s">
        <v>825</v>
      </c>
      <c r="N42" s="12" t="s">
        <v>541</v>
      </c>
      <c r="O42" s="12" t="s">
        <v>826</v>
      </c>
      <c r="P42" s="16">
        <v>46321</v>
      </c>
    </row>
    <row r="43" spans="1:16" x14ac:dyDescent="0.25">
      <c r="A43" s="10">
        <v>39</v>
      </c>
      <c r="B43" s="11" t="s">
        <v>827</v>
      </c>
      <c r="C43" s="10" t="s">
        <v>531</v>
      </c>
      <c r="D43" s="10" t="s">
        <v>416</v>
      </c>
      <c r="E43" s="10" t="s">
        <v>828</v>
      </c>
      <c r="F43" s="10" t="s">
        <v>829</v>
      </c>
      <c r="G43" s="10" t="s">
        <v>830</v>
      </c>
      <c r="H43" s="10" t="s">
        <v>831</v>
      </c>
      <c r="I43" s="10" t="s">
        <v>832</v>
      </c>
      <c r="J43" s="10" t="s">
        <v>641</v>
      </c>
      <c r="K43" s="10" t="s">
        <v>833</v>
      </c>
      <c r="L43" s="10" t="str">
        <f>HYPERLINK("https://he-eppat.vercel.app/Backlog-HE-USER-Prototype.html","https://he-eppat.vercel.app/Backlog-HE-USER-Prototype.html")</f>
        <v>https://he-eppat.vercel.app/Backlog-HE-USER-Prototype.html</v>
      </c>
      <c r="M43" s="10" t="s">
        <v>834</v>
      </c>
      <c r="N43" s="12" t="s">
        <v>541</v>
      </c>
      <c r="O43" s="12" t="s">
        <v>835</v>
      </c>
      <c r="P43" s="13">
        <v>46321</v>
      </c>
    </row>
    <row r="44" spans="1:16" x14ac:dyDescent="0.25">
      <c r="A44" s="14">
        <v>40</v>
      </c>
      <c r="B44" s="15" t="s">
        <v>836</v>
      </c>
      <c r="C44" s="14" t="s">
        <v>553</v>
      </c>
      <c r="D44" s="14" t="s">
        <v>837</v>
      </c>
      <c r="E44" s="14" t="s">
        <v>838</v>
      </c>
      <c r="F44" s="14" t="s">
        <v>839</v>
      </c>
      <c r="G44" s="14" t="s">
        <v>840</v>
      </c>
      <c r="H44" s="14" t="s">
        <v>757</v>
      </c>
      <c r="I44" s="14" t="s">
        <v>841</v>
      </c>
      <c r="J44" s="14" t="s">
        <v>567</v>
      </c>
      <c r="K44" s="14" t="s">
        <v>842</v>
      </c>
      <c r="L44" s="14" t="str">
        <f>HYPERLINK("https://he-eppat.vercel.app/Backlog-HE-EAWK-Prototype.html","https://he-eppat.vercel.app/Backlog-HE-EAWK-Prototype.html")</f>
        <v>https://he-eppat.vercel.app/Backlog-HE-EAWK-Prototype.html</v>
      </c>
      <c r="M44" s="14" t="s">
        <v>843</v>
      </c>
      <c r="N44" s="12" t="s">
        <v>541</v>
      </c>
      <c r="O44" s="12" t="s">
        <v>27</v>
      </c>
      <c r="P44" s="16">
        <v>46321</v>
      </c>
    </row>
    <row r="45" spans="1:16" x14ac:dyDescent="0.25">
      <c r="A45" s="10">
        <v>41</v>
      </c>
      <c r="B45" s="11" t="s">
        <v>844</v>
      </c>
      <c r="C45" s="10" t="s">
        <v>553</v>
      </c>
      <c r="D45" s="10" t="s">
        <v>837</v>
      </c>
      <c r="E45" s="10" t="s">
        <v>845</v>
      </c>
      <c r="F45" s="10" t="s">
        <v>846</v>
      </c>
      <c r="G45" s="10" t="s">
        <v>847</v>
      </c>
      <c r="H45" s="10" t="s">
        <v>848</v>
      </c>
      <c r="I45" s="10" t="s">
        <v>849</v>
      </c>
      <c r="J45" s="10" t="s">
        <v>538</v>
      </c>
      <c r="K45" s="10" t="s">
        <v>850</v>
      </c>
      <c r="L45" s="10" t="str">
        <f>HYPERLINK("https://he-eppat.vercel.app/Backlog-HE-EAWK-Prototype.html","https://he-eppat.vercel.app/Backlog-HE-EAWK-Prototype.html")</f>
        <v>https://he-eppat.vercel.app/Backlog-HE-EAWK-Prototype.html</v>
      </c>
      <c r="M45" s="10" t="s">
        <v>851</v>
      </c>
      <c r="N45" s="12" t="s">
        <v>541</v>
      </c>
      <c r="O45" s="12" t="s">
        <v>27</v>
      </c>
      <c r="P45" s="13">
        <v>46321</v>
      </c>
    </row>
    <row r="46" spans="1:16" x14ac:dyDescent="0.25">
      <c r="A46" s="14">
        <v>42</v>
      </c>
      <c r="B46" s="15" t="s">
        <v>852</v>
      </c>
      <c r="C46" s="14" t="s">
        <v>553</v>
      </c>
      <c r="D46" s="14" t="s">
        <v>837</v>
      </c>
      <c r="E46" s="14" t="s">
        <v>853</v>
      </c>
      <c r="F46" s="14" t="s">
        <v>854</v>
      </c>
      <c r="G46" s="14" t="s">
        <v>855</v>
      </c>
      <c r="H46" s="14" t="s">
        <v>856</v>
      </c>
      <c r="I46" s="14" t="s">
        <v>857</v>
      </c>
      <c r="J46" s="14" t="s">
        <v>538</v>
      </c>
      <c r="K46" s="14" t="s">
        <v>858</v>
      </c>
      <c r="L46" s="14" t="str">
        <f>HYPERLINK("https://he-eppat.vercel.app/Backlog-HE-EAWK-Prototype.html","https://he-eppat.vercel.app/Backlog-HE-EAWK-Prototype.html")</f>
        <v>https://he-eppat.vercel.app/Backlog-HE-EAWK-Prototype.html</v>
      </c>
      <c r="M46" s="14" t="s">
        <v>859</v>
      </c>
      <c r="N46" s="12" t="s">
        <v>541</v>
      </c>
      <c r="O46" s="12" t="s">
        <v>27</v>
      </c>
      <c r="P46" s="16">
        <v>46321</v>
      </c>
    </row>
    <row r="47" spans="1:16" x14ac:dyDescent="0.25">
      <c r="A47" s="10">
        <v>43</v>
      </c>
      <c r="B47" s="11" t="s">
        <v>860</v>
      </c>
      <c r="C47" s="10" t="s">
        <v>553</v>
      </c>
      <c r="D47" s="10" t="s">
        <v>837</v>
      </c>
      <c r="E47" s="10" t="s">
        <v>861</v>
      </c>
      <c r="F47" s="10" t="s">
        <v>862</v>
      </c>
      <c r="G47" s="10" t="s">
        <v>863</v>
      </c>
      <c r="H47" s="10" t="s">
        <v>864</v>
      </c>
      <c r="I47" s="10" t="s">
        <v>849</v>
      </c>
      <c r="J47" s="10" t="s">
        <v>538</v>
      </c>
      <c r="K47" s="10" t="s">
        <v>865</v>
      </c>
      <c r="L47" s="10" t="str">
        <f>HYPERLINK("https://he-eppat.vercel.app/Backlog-HE-EAWK-Prototype.html","https://he-eppat.vercel.app/Backlog-HE-EAWK-Prototype.html")</f>
        <v>https://he-eppat.vercel.app/Backlog-HE-EAWK-Prototype.html</v>
      </c>
      <c r="M47" s="10" t="s">
        <v>866</v>
      </c>
      <c r="N47" s="12" t="s">
        <v>541</v>
      </c>
      <c r="O47" s="12" t="s">
        <v>27</v>
      </c>
      <c r="P47" s="13">
        <v>46321</v>
      </c>
    </row>
    <row r="48" spans="1:16" x14ac:dyDescent="0.25">
      <c r="A48" s="14">
        <v>44</v>
      </c>
      <c r="B48" s="15" t="s">
        <v>867</v>
      </c>
      <c r="C48" s="14" t="s">
        <v>553</v>
      </c>
      <c r="D48" s="14" t="s">
        <v>837</v>
      </c>
      <c r="E48" s="14" t="s">
        <v>868</v>
      </c>
      <c r="F48" s="14" t="s">
        <v>869</v>
      </c>
      <c r="G48" s="14" t="s">
        <v>870</v>
      </c>
      <c r="H48" s="14" t="s">
        <v>749</v>
      </c>
      <c r="I48" s="14" t="s">
        <v>871</v>
      </c>
      <c r="J48" s="14" t="s">
        <v>538</v>
      </c>
      <c r="K48" s="14" t="s">
        <v>872</v>
      </c>
      <c r="L48" s="14" t="str">
        <f>HYPERLINK("https://he-eppat.vercel.app/Backlog-HE-EAWK-Prototype.html","https://he-eppat.vercel.app/Backlog-HE-EAWK-Prototype.html")</f>
        <v>https://he-eppat.vercel.app/Backlog-HE-EAWK-Prototype.html</v>
      </c>
      <c r="M48" s="14" t="s">
        <v>873</v>
      </c>
      <c r="N48" s="12" t="s">
        <v>541</v>
      </c>
      <c r="O48" s="12" t="s">
        <v>27</v>
      </c>
      <c r="P48" s="16">
        <v>46321</v>
      </c>
    </row>
    <row r="49" spans="1:16" x14ac:dyDescent="0.25">
      <c r="A49" s="10">
        <v>45</v>
      </c>
      <c r="B49" s="11" t="s">
        <v>874</v>
      </c>
      <c r="C49" s="10" t="s">
        <v>553</v>
      </c>
      <c r="D49" s="10" t="s">
        <v>837</v>
      </c>
      <c r="E49" s="10" t="s">
        <v>875</v>
      </c>
      <c r="F49" s="10" t="s">
        <v>876</v>
      </c>
      <c r="G49" s="10" t="s">
        <v>877</v>
      </c>
      <c r="H49" s="10" t="s">
        <v>878</v>
      </c>
      <c r="I49" s="10" t="s">
        <v>879</v>
      </c>
      <c r="J49" s="10" t="s">
        <v>567</v>
      </c>
      <c r="K49" s="10" t="s">
        <v>880</v>
      </c>
      <c r="L49" s="10" t="str">
        <f>HYPERLINK("https://he-eppat.vercel.app/Backlog-HE-EAWK-Prototype.html","https://he-eppat.vercel.app/Backlog-HE-EAWK-Prototype.html")</f>
        <v>https://he-eppat.vercel.app/Backlog-HE-EAWK-Prototype.html</v>
      </c>
      <c r="M49" s="10" t="s">
        <v>881</v>
      </c>
      <c r="N49" s="12" t="s">
        <v>541</v>
      </c>
      <c r="O49" s="12" t="s">
        <v>882</v>
      </c>
      <c r="P49" s="13">
        <v>46321</v>
      </c>
    </row>
    <row r="50" spans="1:16" x14ac:dyDescent="0.25">
      <c r="A50" s="14">
        <v>46</v>
      </c>
      <c r="B50" s="15" t="s">
        <v>883</v>
      </c>
      <c r="C50" s="14" t="s">
        <v>553</v>
      </c>
      <c r="D50" s="14" t="s">
        <v>837</v>
      </c>
      <c r="E50" s="14" t="s">
        <v>884</v>
      </c>
      <c r="F50" s="14" t="s">
        <v>885</v>
      </c>
      <c r="G50" s="14" t="s">
        <v>886</v>
      </c>
      <c r="H50" s="14" t="s">
        <v>546</v>
      </c>
      <c r="I50" s="14" t="s">
        <v>887</v>
      </c>
      <c r="J50" s="14" t="s">
        <v>567</v>
      </c>
      <c r="K50" s="14" t="s">
        <v>842</v>
      </c>
      <c r="L50" s="14" t="str">
        <f>HYPERLINK("https://he-eppat.vercel.app/Backlog-HE-EAWK-Prototype.html","https://he-eppat.vercel.app/Backlog-HE-EAWK-Prototype.html")</f>
        <v>https://he-eppat.vercel.app/Backlog-HE-EAWK-Prototype.html</v>
      </c>
      <c r="M50" s="14" t="s">
        <v>888</v>
      </c>
      <c r="N50" s="12" t="s">
        <v>541</v>
      </c>
      <c r="O50" s="12" t="s">
        <v>889</v>
      </c>
      <c r="P50" s="16">
        <v>46321</v>
      </c>
    </row>
    <row r="51" spans="1:16" x14ac:dyDescent="0.25">
      <c r="A51" s="10">
        <v>47</v>
      </c>
      <c r="B51" s="11" t="s">
        <v>890</v>
      </c>
      <c r="C51" s="10" t="s">
        <v>553</v>
      </c>
      <c r="D51" s="10" t="s">
        <v>891</v>
      </c>
      <c r="E51" s="10" t="s">
        <v>892</v>
      </c>
      <c r="F51" s="10" t="s">
        <v>893</v>
      </c>
      <c r="G51" s="10" t="s">
        <v>894</v>
      </c>
      <c r="H51" s="10" t="s">
        <v>895</v>
      </c>
      <c r="I51" s="10" t="s">
        <v>896</v>
      </c>
      <c r="J51" s="10" t="s">
        <v>567</v>
      </c>
      <c r="K51" s="10" t="s">
        <v>897</v>
      </c>
      <c r="L51" s="10" t="str">
        <f>HYPERLINK("https://he-eppat.vercel.app/Backlog-HE-VERIF-Prototype.html","https://he-eppat.vercel.app/Backlog-HE-VERIF-Prototype.html")</f>
        <v>https://he-eppat.vercel.app/Backlog-HE-VERIF-Prototype.html</v>
      </c>
      <c r="M51" s="10" t="s">
        <v>898</v>
      </c>
      <c r="N51" s="12" t="s">
        <v>541</v>
      </c>
      <c r="O51" s="12" t="s">
        <v>27</v>
      </c>
      <c r="P51" s="13">
        <v>46321</v>
      </c>
    </row>
    <row r="52" spans="1:16" x14ac:dyDescent="0.25">
      <c r="A52" s="14">
        <v>48</v>
      </c>
      <c r="B52" s="15" t="s">
        <v>899</v>
      </c>
      <c r="C52" s="14" t="s">
        <v>553</v>
      </c>
      <c r="D52" s="14" t="s">
        <v>891</v>
      </c>
      <c r="E52" s="14" t="s">
        <v>900</v>
      </c>
      <c r="F52" s="14" t="s">
        <v>901</v>
      </c>
      <c r="G52" s="14" t="s">
        <v>902</v>
      </c>
      <c r="H52" s="14" t="s">
        <v>903</v>
      </c>
      <c r="I52" s="14" t="s">
        <v>896</v>
      </c>
      <c r="J52" s="14" t="s">
        <v>567</v>
      </c>
      <c r="K52" s="14" t="s">
        <v>904</v>
      </c>
      <c r="L52" s="14" t="str">
        <f>HYPERLINK("https://he-eppat.vercel.app/Backlog-HE-VERIF-Prototype.html","https://he-eppat.vercel.app/Backlog-HE-VERIF-Prototype.html")</f>
        <v>https://he-eppat.vercel.app/Backlog-HE-VERIF-Prototype.html</v>
      </c>
      <c r="M52" s="14" t="s">
        <v>905</v>
      </c>
      <c r="N52" s="12" t="s">
        <v>541</v>
      </c>
      <c r="O52" s="12" t="s">
        <v>906</v>
      </c>
      <c r="P52" s="16">
        <v>46321</v>
      </c>
    </row>
    <row r="53" spans="1:16" x14ac:dyDescent="0.25">
      <c r="A53" s="10">
        <v>49</v>
      </c>
      <c r="B53" s="11" t="s">
        <v>907</v>
      </c>
      <c r="C53" s="10" t="s">
        <v>553</v>
      </c>
      <c r="D53" s="10" t="s">
        <v>891</v>
      </c>
      <c r="E53" s="10" t="s">
        <v>908</v>
      </c>
      <c r="F53" s="10" t="s">
        <v>909</v>
      </c>
      <c r="G53" s="10" t="s">
        <v>910</v>
      </c>
      <c r="H53" s="10" t="s">
        <v>911</v>
      </c>
      <c r="I53" s="10" t="s">
        <v>896</v>
      </c>
      <c r="J53" s="10" t="s">
        <v>538</v>
      </c>
      <c r="K53" s="10" t="s">
        <v>912</v>
      </c>
      <c r="L53" s="10" t="str">
        <f>HYPERLINK("https://he-eppat.vercel.app/Backlog-HE-VERIF-Prototype.html","https://he-eppat.vercel.app/Backlog-HE-VERIF-Prototype.html")</f>
        <v>https://he-eppat.vercel.app/Backlog-HE-VERIF-Prototype.html</v>
      </c>
      <c r="M53" s="10" t="s">
        <v>913</v>
      </c>
      <c r="N53" s="12" t="s">
        <v>541</v>
      </c>
      <c r="O53" s="12" t="s">
        <v>27</v>
      </c>
      <c r="P53" s="13">
        <v>46321</v>
      </c>
    </row>
    <row r="54" spans="1:16" x14ac:dyDescent="0.25">
      <c r="A54" s="14">
        <v>50</v>
      </c>
      <c r="B54" s="15" t="s">
        <v>914</v>
      </c>
      <c r="C54" s="14" t="s">
        <v>553</v>
      </c>
      <c r="D54" s="14" t="s">
        <v>891</v>
      </c>
      <c r="E54" s="14" t="s">
        <v>915</v>
      </c>
      <c r="F54" s="14" t="s">
        <v>916</v>
      </c>
      <c r="G54" s="14" t="s">
        <v>917</v>
      </c>
      <c r="H54" s="14" t="s">
        <v>918</v>
      </c>
      <c r="I54" s="14" t="s">
        <v>896</v>
      </c>
      <c r="J54" s="14" t="s">
        <v>641</v>
      </c>
      <c r="K54" s="14" t="s">
        <v>919</v>
      </c>
      <c r="L54" s="14" t="str">
        <f>HYPERLINK("https://he-eppat.vercel.app/Backlog-HE-VERIF-Prototype.html","https://he-eppat.vercel.app/Backlog-HE-VERIF-Prototype.html")</f>
        <v>https://he-eppat.vercel.app/Backlog-HE-VERIF-Prototype.html</v>
      </c>
      <c r="M54" s="14" t="s">
        <v>920</v>
      </c>
      <c r="N54" s="12" t="s">
        <v>541</v>
      </c>
      <c r="O54" s="12" t="s">
        <v>27</v>
      </c>
      <c r="P54" s="16">
        <v>46321</v>
      </c>
    </row>
    <row r="55" spans="1:16" x14ac:dyDescent="0.25">
      <c r="A55" s="10">
        <v>51</v>
      </c>
      <c r="B55" s="11" t="s">
        <v>96</v>
      </c>
      <c r="C55" s="10" t="s">
        <v>553</v>
      </c>
      <c r="D55" s="10" t="s">
        <v>891</v>
      </c>
      <c r="E55" s="10" t="s">
        <v>921</v>
      </c>
      <c r="F55" s="10" t="s">
        <v>922</v>
      </c>
      <c r="G55" s="10" t="s">
        <v>923</v>
      </c>
      <c r="H55" s="10" t="s">
        <v>661</v>
      </c>
      <c r="I55" s="10" t="s">
        <v>896</v>
      </c>
      <c r="J55" s="10" t="s">
        <v>567</v>
      </c>
      <c r="K55" s="10" t="s">
        <v>924</v>
      </c>
      <c r="L55" s="10" t="str">
        <f>HYPERLINK("https://he-eppat.vercel.app/Backlog-HE-VERIF-Prototype.html","https://he-eppat.vercel.app/Backlog-HE-VERIF-Prototype.html")</f>
        <v>https://he-eppat.vercel.app/Backlog-HE-VERIF-Prototype.html</v>
      </c>
      <c r="M55" s="10" t="s">
        <v>925</v>
      </c>
      <c r="N55" s="12" t="s">
        <v>541</v>
      </c>
      <c r="O55" s="12" t="s">
        <v>27</v>
      </c>
      <c r="P55" s="13">
        <v>46321</v>
      </c>
    </row>
    <row r="56" spans="1:16" x14ac:dyDescent="0.25">
      <c r="A56" s="14">
        <v>52</v>
      </c>
      <c r="B56" s="15" t="s">
        <v>926</v>
      </c>
      <c r="C56" s="14" t="s">
        <v>553</v>
      </c>
      <c r="D56" s="14" t="s">
        <v>927</v>
      </c>
      <c r="E56" s="14" t="s">
        <v>928</v>
      </c>
      <c r="F56" s="14" t="s">
        <v>929</v>
      </c>
      <c r="G56" s="14" t="s">
        <v>930</v>
      </c>
      <c r="H56" s="14" t="s">
        <v>669</v>
      </c>
      <c r="I56" s="14" t="s">
        <v>931</v>
      </c>
      <c r="J56" s="14" t="s">
        <v>641</v>
      </c>
      <c r="K56" s="14" t="s">
        <v>932</v>
      </c>
      <c r="L56" s="14" t="str">
        <f>HYPERLINK("https://he-eppat.vercel.app/Backlog-HE-USER-Prototype.html","https://he-eppat.vercel.app/Backlog-HE-USER-Prototype.html")</f>
        <v>https://he-eppat.vercel.app/Backlog-HE-USER-Prototype.html</v>
      </c>
      <c r="M56" s="14" t="s">
        <v>933</v>
      </c>
      <c r="N56" s="12" t="s">
        <v>541</v>
      </c>
      <c r="O56" s="12" t="s">
        <v>27</v>
      </c>
      <c r="P56" s="16">
        <v>46321</v>
      </c>
    </row>
    <row r="57" spans="1:16" x14ac:dyDescent="0.25">
      <c r="A57" s="10">
        <v>53</v>
      </c>
      <c r="B57" s="11" t="s">
        <v>934</v>
      </c>
      <c r="C57" s="10" t="s">
        <v>553</v>
      </c>
      <c r="D57" s="10" t="s">
        <v>927</v>
      </c>
      <c r="E57" s="10" t="s">
        <v>935</v>
      </c>
      <c r="F57" s="10" t="s">
        <v>936</v>
      </c>
      <c r="G57" s="10" t="s">
        <v>937</v>
      </c>
      <c r="H57" s="10" t="s">
        <v>918</v>
      </c>
      <c r="I57" s="10" t="s">
        <v>931</v>
      </c>
      <c r="J57" s="10" t="s">
        <v>567</v>
      </c>
      <c r="K57" s="10" t="s">
        <v>833</v>
      </c>
      <c r="L57" s="10" t="str">
        <f>HYPERLINK("https://he-eppat.vercel.app/Backlog-HE-USER-Prototype.html","https://he-eppat.vercel.app/Backlog-HE-USER-Prototype.html")</f>
        <v>https://he-eppat.vercel.app/Backlog-HE-USER-Prototype.html</v>
      </c>
      <c r="M57" s="10" t="s">
        <v>938</v>
      </c>
      <c r="N57" s="12" t="s">
        <v>541</v>
      </c>
      <c r="O57" s="12" t="s">
        <v>27</v>
      </c>
      <c r="P57" s="13">
        <v>46321</v>
      </c>
    </row>
    <row r="58" spans="1:16" x14ac:dyDescent="0.25">
      <c r="A58" s="14">
        <v>54</v>
      </c>
      <c r="B58" s="15" t="s">
        <v>939</v>
      </c>
      <c r="C58" s="14" t="s">
        <v>553</v>
      </c>
      <c r="D58" s="14" t="s">
        <v>927</v>
      </c>
      <c r="E58" s="14" t="s">
        <v>940</v>
      </c>
      <c r="F58" s="14" t="s">
        <v>941</v>
      </c>
      <c r="G58" s="14" t="s">
        <v>942</v>
      </c>
      <c r="H58" s="14" t="s">
        <v>943</v>
      </c>
      <c r="I58" s="14" t="s">
        <v>931</v>
      </c>
      <c r="J58" s="14" t="s">
        <v>567</v>
      </c>
      <c r="K58" s="14" t="s">
        <v>944</v>
      </c>
      <c r="L58" s="14" t="str">
        <f>HYPERLINK("https://he-eppat.vercel.app/Backlog-HE-USER-Prototype.html","https://he-eppat.vercel.app/Backlog-HE-USER-Prototype.html")</f>
        <v>https://he-eppat.vercel.app/Backlog-HE-USER-Prototype.html</v>
      </c>
      <c r="M58" s="14" t="s">
        <v>945</v>
      </c>
      <c r="N58" s="12" t="s">
        <v>541</v>
      </c>
      <c r="O58" s="12" t="s">
        <v>946</v>
      </c>
      <c r="P58" s="16">
        <v>46321</v>
      </c>
    </row>
    <row r="59" spans="1:16" x14ac:dyDescent="0.25">
      <c r="A59" s="10">
        <v>55</v>
      </c>
      <c r="B59" s="11" t="s">
        <v>224</v>
      </c>
      <c r="C59" s="10" t="s">
        <v>553</v>
      </c>
      <c r="D59" s="10" t="s">
        <v>927</v>
      </c>
      <c r="E59" s="10" t="s">
        <v>947</v>
      </c>
      <c r="F59" s="10" t="s">
        <v>948</v>
      </c>
      <c r="G59" s="10" t="s">
        <v>949</v>
      </c>
      <c r="H59" s="10" t="s">
        <v>950</v>
      </c>
      <c r="I59" s="10" t="s">
        <v>931</v>
      </c>
      <c r="J59" s="10" t="s">
        <v>641</v>
      </c>
      <c r="K59" s="10" t="s">
        <v>833</v>
      </c>
      <c r="L59" s="10" t="str">
        <f>HYPERLINK("https://he-eppat.vercel.app/Backlog-HE-USER-Prototype.html","https://he-eppat.vercel.app/Backlog-HE-USER-Prototype.html")</f>
        <v>https://he-eppat.vercel.app/Backlog-HE-USER-Prototype.html</v>
      </c>
      <c r="M59" s="10" t="s">
        <v>951</v>
      </c>
      <c r="N59" s="12" t="s">
        <v>541</v>
      </c>
      <c r="O59" s="12" t="s">
        <v>27</v>
      </c>
      <c r="P59" s="13">
        <v>46321</v>
      </c>
    </row>
    <row r="60" spans="1:16" x14ac:dyDescent="0.25">
      <c r="A60" s="14">
        <v>56</v>
      </c>
      <c r="B60" s="15" t="s">
        <v>952</v>
      </c>
      <c r="C60" s="14" t="s">
        <v>953</v>
      </c>
      <c r="D60" s="14" t="s">
        <v>954</v>
      </c>
      <c r="E60" s="14" t="s">
        <v>955</v>
      </c>
      <c r="F60" s="14" t="s">
        <v>956</v>
      </c>
      <c r="G60" s="14" t="s">
        <v>957</v>
      </c>
      <c r="H60" s="14" t="s">
        <v>958</v>
      </c>
      <c r="I60" s="14" t="s">
        <v>959</v>
      </c>
      <c r="J60" s="14" t="s">
        <v>567</v>
      </c>
      <c r="K60" s="14" t="s">
        <v>960</v>
      </c>
      <c r="L60" s="14" t="str">
        <f>HYPERLINK("https://he-eppat.vercel.app/Backlog-HE-ONBOARDING-Prototype.html","https://he-eppat.vercel.app/Backlog-HE-ONBOARDING-Prototype.html")</f>
        <v>https://he-eppat.vercel.app/Backlog-HE-ONBOARDING-Prototype.html</v>
      </c>
      <c r="M60" s="14" t="s">
        <v>961</v>
      </c>
      <c r="N60" s="12" t="s">
        <v>541</v>
      </c>
      <c r="O60" s="12" t="s">
        <v>27</v>
      </c>
      <c r="P60" s="16">
        <v>46321</v>
      </c>
    </row>
    <row r="61" spans="1:16" x14ac:dyDescent="0.25">
      <c r="A61" s="10">
        <v>57</v>
      </c>
      <c r="B61" s="11" t="s">
        <v>962</v>
      </c>
      <c r="C61" s="10" t="s">
        <v>953</v>
      </c>
      <c r="D61" s="10" t="s">
        <v>954</v>
      </c>
      <c r="E61" s="10" t="s">
        <v>963</v>
      </c>
      <c r="F61" s="10" t="s">
        <v>964</v>
      </c>
      <c r="G61" s="10" t="s">
        <v>965</v>
      </c>
      <c r="H61" s="10" t="s">
        <v>582</v>
      </c>
      <c r="I61" s="10" t="s">
        <v>959</v>
      </c>
      <c r="J61" s="10" t="s">
        <v>641</v>
      </c>
      <c r="K61" s="10" t="s">
        <v>960</v>
      </c>
      <c r="L61" s="10" t="str">
        <f>HYPERLINK("https://he-eppat.vercel.app/Backlog-HE-ONBOARDING-Prototype.html","https://he-eppat.vercel.app/Backlog-HE-ONBOARDING-Prototype.html")</f>
        <v>https://he-eppat.vercel.app/Backlog-HE-ONBOARDING-Prototype.html</v>
      </c>
      <c r="M61" s="10" t="s">
        <v>966</v>
      </c>
      <c r="N61" s="12" t="s">
        <v>541</v>
      </c>
      <c r="O61" s="12" t="s">
        <v>967</v>
      </c>
      <c r="P61" s="13">
        <v>46321</v>
      </c>
    </row>
    <row r="62" spans="1:16" x14ac:dyDescent="0.25">
      <c r="A62" s="14">
        <v>58</v>
      </c>
      <c r="B62" s="15" t="s">
        <v>968</v>
      </c>
      <c r="C62" s="14" t="s">
        <v>953</v>
      </c>
      <c r="D62" s="14" t="s">
        <v>954</v>
      </c>
      <c r="E62" s="14" t="s">
        <v>969</v>
      </c>
      <c r="F62" s="14" t="s">
        <v>970</v>
      </c>
      <c r="G62" s="14" t="s">
        <v>971</v>
      </c>
      <c r="H62" s="14" t="s">
        <v>972</v>
      </c>
      <c r="I62" s="14" t="s">
        <v>959</v>
      </c>
      <c r="J62" s="14" t="s">
        <v>641</v>
      </c>
      <c r="K62" s="14" t="s">
        <v>973</v>
      </c>
      <c r="L62" s="14" t="str">
        <f>HYPERLINK("https://he-eppat.vercel.app/Backlog-HE-ONBOARDING-Prototype.html","https://he-eppat.vercel.app/Backlog-HE-ONBOARDING-Prototype.html")</f>
        <v>https://he-eppat.vercel.app/Backlog-HE-ONBOARDING-Prototype.html</v>
      </c>
      <c r="M62" s="14" t="s">
        <v>974</v>
      </c>
      <c r="N62" s="12" t="s">
        <v>541</v>
      </c>
      <c r="O62" s="12" t="s">
        <v>27</v>
      </c>
      <c r="P62" s="16">
        <v>46321</v>
      </c>
    </row>
    <row r="63" spans="1:16" x14ac:dyDescent="0.25">
      <c r="A63" s="10">
        <v>59</v>
      </c>
      <c r="B63" s="11" t="s">
        <v>975</v>
      </c>
      <c r="C63" s="10" t="s">
        <v>953</v>
      </c>
      <c r="D63" s="10" t="s">
        <v>954</v>
      </c>
      <c r="E63" s="10" t="s">
        <v>976</v>
      </c>
      <c r="F63" s="10" t="s">
        <v>977</v>
      </c>
      <c r="G63" s="10" t="s">
        <v>978</v>
      </c>
      <c r="H63" s="10" t="s">
        <v>943</v>
      </c>
      <c r="I63" s="10" t="s">
        <v>959</v>
      </c>
      <c r="J63" s="10" t="s">
        <v>641</v>
      </c>
      <c r="K63" s="10" t="s">
        <v>960</v>
      </c>
      <c r="L63" s="10" t="str">
        <f>HYPERLINK("https://he-eppat.vercel.app/Backlog-HE-ONBOARDING-Prototype.html","https://he-eppat.vercel.app/Backlog-HE-ONBOARDING-Prototype.html")</f>
        <v>https://he-eppat.vercel.app/Backlog-HE-ONBOARDING-Prototype.html</v>
      </c>
      <c r="M63" s="10" t="s">
        <v>979</v>
      </c>
      <c r="N63" s="12" t="s">
        <v>541</v>
      </c>
      <c r="O63" s="12" t="s">
        <v>27</v>
      </c>
      <c r="P63" s="13">
        <v>46321</v>
      </c>
    </row>
    <row r="64" spans="1:16" x14ac:dyDescent="0.25">
      <c r="A64" s="14">
        <v>60</v>
      </c>
      <c r="B64" s="15" t="s">
        <v>980</v>
      </c>
      <c r="C64" s="14" t="s">
        <v>953</v>
      </c>
      <c r="D64" s="14" t="s">
        <v>981</v>
      </c>
      <c r="E64" s="14" t="s">
        <v>982</v>
      </c>
      <c r="F64" s="14" t="s">
        <v>983</v>
      </c>
      <c r="G64" s="14" t="s">
        <v>984</v>
      </c>
      <c r="H64" s="14" t="s">
        <v>903</v>
      </c>
      <c r="I64" s="14" t="s">
        <v>985</v>
      </c>
      <c r="J64" s="14" t="s">
        <v>538</v>
      </c>
      <c r="K64" s="14" t="s">
        <v>986</v>
      </c>
      <c r="L64" s="14" t="str">
        <f>HYPERLINK("https://he-eppat.vercel.app/Backlog-HE-ONBOARDING-Prototype.html","https://he-eppat.vercel.app/Backlog-HE-ONBOARDING-Prototype.html")</f>
        <v>https://he-eppat.vercel.app/Backlog-HE-ONBOARDING-Prototype.html</v>
      </c>
      <c r="M64" s="14" t="s">
        <v>987</v>
      </c>
      <c r="N64" s="12" t="s">
        <v>541</v>
      </c>
      <c r="O64" s="12" t="s">
        <v>27</v>
      </c>
      <c r="P64" s="16">
        <v>46321</v>
      </c>
    </row>
    <row r="65" spans="1:16" x14ac:dyDescent="0.25">
      <c r="A65" s="10">
        <v>61</v>
      </c>
      <c r="B65" s="11" t="s">
        <v>988</v>
      </c>
      <c r="C65" s="10" t="s">
        <v>953</v>
      </c>
      <c r="D65" s="10" t="s">
        <v>981</v>
      </c>
      <c r="E65" s="10" t="s">
        <v>989</v>
      </c>
      <c r="F65" s="10" t="s">
        <v>990</v>
      </c>
      <c r="G65" s="10" t="s">
        <v>991</v>
      </c>
      <c r="H65" s="10" t="s">
        <v>992</v>
      </c>
      <c r="I65" s="10" t="s">
        <v>985</v>
      </c>
      <c r="J65" s="10" t="s">
        <v>538</v>
      </c>
      <c r="K65" s="10" t="s">
        <v>993</v>
      </c>
      <c r="L65" s="10" t="str">
        <f>HYPERLINK("https://he-eppat.vercel.app/Backlog-HE-ONBOARDING-Prototype.html","https://he-eppat.vercel.app/Backlog-HE-ONBOARDING-Prototype.html")</f>
        <v>https://he-eppat.vercel.app/Backlog-HE-ONBOARDING-Prototype.html</v>
      </c>
      <c r="M65" s="10" t="s">
        <v>994</v>
      </c>
      <c r="N65" s="12" t="s">
        <v>541</v>
      </c>
      <c r="O65" s="12" t="s">
        <v>995</v>
      </c>
      <c r="P65" s="13">
        <v>46321</v>
      </c>
    </row>
    <row r="66" spans="1:16" x14ac:dyDescent="0.25">
      <c r="A66" s="14">
        <v>62</v>
      </c>
      <c r="B66" s="15" t="s">
        <v>996</v>
      </c>
      <c r="C66" s="14" t="s">
        <v>953</v>
      </c>
      <c r="D66" s="14" t="s">
        <v>981</v>
      </c>
      <c r="E66" s="14" t="s">
        <v>997</v>
      </c>
      <c r="F66" s="14" t="s">
        <v>998</v>
      </c>
      <c r="G66" s="14" t="s">
        <v>999</v>
      </c>
      <c r="H66" s="14" t="s">
        <v>1000</v>
      </c>
      <c r="I66" s="14" t="s">
        <v>985</v>
      </c>
      <c r="J66" s="14" t="s">
        <v>567</v>
      </c>
      <c r="K66" s="14" t="s">
        <v>1001</v>
      </c>
      <c r="L66" s="14" t="str">
        <f>HYPERLINK("https://he-eppat.vercel.app/Backlog-HE-ONBOARDING-Prototype.html","https://he-eppat.vercel.app/Backlog-HE-ONBOARDING-Prototype.html")</f>
        <v>https://he-eppat.vercel.app/Backlog-HE-ONBOARDING-Prototype.html</v>
      </c>
      <c r="M66" s="14" t="s">
        <v>1002</v>
      </c>
      <c r="N66" s="12" t="s">
        <v>541</v>
      </c>
      <c r="O66" s="12" t="s">
        <v>27</v>
      </c>
      <c r="P66" s="16">
        <v>46321</v>
      </c>
    </row>
    <row r="67" spans="1:16" x14ac:dyDescent="0.25">
      <c r="A67" s="10">
        <v>63</v>
      </c>
      <c r="B67" s="11" t="s">
        <v>1003</v>
      </c>
      <c r="C67" s="10" t="s">
        <v>953</v>
      </c>
      <c r="D67" s="10" t="s">
        <v>981</v>
      </c>
      <c r="E67" s="10" t="s">
        <v>1004</v>
      </c>
      <c r="F67" s="10" t="s">
        <v>1005</v>
      </c>
      <c r="G67" s="10" t="s">
        <v>1006</v>
      </c>
      <c r="H67" s="10" t="s">
        <v>1007</v>
      </c>
      <c r="I67" s="10" t="s">
        <v>985</v>
      </c>
      <c r="J67" s="10" t="s">
        <v>567</v>
      </c>
      <c r="K67" s="10" t="s">
        <v>1008</v>
      </c>
      <c r="L67" s="10" t="str">
        <f>HYPERLINK("https://he-eppat.vercel.app/Backlog-HE-ONBOARDING-Prototype.html","https://he-eppat.vercel.app/Backlog-HE-ONBOARDING-Prototype.html")</f>
        <v>https://he-eppat.vercel.app/Backlog-HE-ONBOARDING-Prototype.html</v>
      </c>
      <c r="M67" s="10" t="s">
        <v>1009</v>
      </c>
      <c r="N67" s="12" t="s">
        <v>541</v>
      </c>
      <c r="O67" s="12" t="s">
        <v>27</v>
      </c>
      <c r="P67" s="13">
        <v>46321</v>
      </c>
    </row>
    <row r="68" spans="1:16" x14ac:dyDescent="0.25">
      <c r="A68" s="14">
        <v>64</v>
      </c>
      <c r="B68" s="15" t="s">
        <v>1010</v>
      </c>
      <c r="C68" s="14" t="s">
        <v>953</v>
      </c>
      <c r="D68" s="14" t="s">
        <v>1011</v>
      </c>
      <c r="E68" s="14" t="s">
        <v>1012</v>
      </c>
      <c r="F68" s="14" t="s">
        <v>1013</v>
      </c>
      <c r="G68" s="14" t="s">
        <v>1014</v>
      </c>
      <c r="H68" s="14" t="s">
        <v>1015</v>
      </c>
      <c r="I68" s="14" t="s">
        <v>1016</v>
      </c>
      <c r="J68" s="14" t="s">
        <v>567</v>
      </c>
      <c r="K68" s="14" t="s">
        <v>1017</v>
      </c>
      <c r="L68" s="14" t="str">
        <f>HYPERLINK("https://he-eppat.vercel.app/Backlog-HE-ONBOARDING-Prototype.html","https://he-eppat.vercel.app/Backlog-HE-ONBOARDING-Prototype.html")</f>
        <v>https://he-eppat.vercel.app/Backlog-HE-ONBOARDING-Prototype.html</v>
      </c>
      <c r="M68" s="14" t="s">
        <v>1018</v>
      </c>
      <c r="N68" s="12" t="s">
        <v>541</v>
      </c>
      <c r="O68" s="12" t="s">
        <v>27</v>
      </c>
      <c r="P68" s="16">
        <v>46321</v>
      </c>
    </row>
    <row r="69" spans="1:16" x14ac:dyDescent="0.25">
      <c r="A69" s="10">
        <v>65</v>
      </c>
      <c r="B69" s="11" t="s">
        <v>1019</v>
      </c>
      <c r="C69" s="10" t="s">
        <v>953</v>
      </c>
      <c r="D69" s="10" t="s">
        <v>1011</v>
      </c>
      <c r="E69" s="10" t="s">
        <v>1020</v>
      </c>
      <c r="F69" s="10" t="s">
        <v>1021</v>
      </c>
      <c r="G69" s="10" t="s">
        <v>1022</v>
      </c>
      <c r="H69" s="10" t="s">
        <v>1023</v>
      </c>
      <c r="I69" s="10" t="s">
        <v>1016</v>
      </c>
      <c r="J69" s="10" t="s">
        <v>567</v>
      </c>
      <c r="K69" s="10" t="s">
        <v>1024</v>
      </c>
      <c r="L69" s="10" t="str">
        <f>HYPERLINK("https://he-eppat.vercel.app/Backlog-HE-ONBOARDING-Prototype.html","https://he-eppat.vercel.app/Backlog-HE-ONBOARDING-Prototype.html")</f>
        <v>https://he-eppat.vercel.app/Backlog-HE-ONBOARDING-Prototype.html</v>
      </c>
      <c r="M69" s="10" t="s">
        <v>1025</v>
      </c>
      <c r="N69" s="12" t="s">
        <v>541</v>
      </c>
      <c r="O69" s="12" t="s">
        <v>1026</v>
      </c>
      <c r="P69" s="13">
        <v>46321</v>
      </c>
    </row>
    <row r="70" spans="1:16" x14ac:dyDescent="0.25">
      <c r="A70" s="14">
        <v>66</v>
      </c>
      <c r="B70" s="15" t="s">
        <v>1027</v>
      </c>
      <c r="C70" s="14" t="s">
        <v>953</v>
      </c>
      <c r="D70" s="14" t="s">
        <v>1011</v>
      </c>
      <c r="E70" s="14" t="s">
        <v>1028</v>
      </c>
      <c r="F70" s="14" t="s">
        <v>1029</v>
      </c>
      <c r="G70" s="14" t="s">
        <v>1030</v>
      </c>
      <c r="H70" s="14" t="s">
        <v>972</v>
      </c>
      <c r="I70" s="14" t="s">
        <v>1016</v>
      </c>
      <c r="J70" s="14" t="s">
        <v>567</v>
      </c>
      <c r="K70" s="14" t="s">
        <v>1017</v>
      </c>
      <c r="L70" s="14" t="str">
        <f>HYPERLINK("https://he-eppat.vercel.app/Backlog-HE-ONBOARDING-Prototype.html","https://he-eppat.vercel.app/Backlog-HE-ONBOARDING-Prototype.html")</f>
        <v>https://he-eppat.vercel.app/Backlog-HE-ONBOARDING-Prototype.html</v>
      </c>
      <c r="M70" s="14" t="s">
        <v>1031</v>
      </c>
      <c r="N70" s="12" t="s">
        <v>541</v>
      </c>
      <c r="O70" s="12" t="s">
        <v>1032</v>
      </c>
      <c r="P70" s="16">
        <v>46321</v>
      </c>
    </row>
    <row r="71" spans="1:16" x14ac:dyDescent="0.25">
      <c r="A71" s="10">
        <v>67</v>
      </c>
      <c r="B71" s="11" t="s">
        <v>1033</v>
      </c>
      <c r="C71" s="10" t="s">
        <v>953</v>
      </c>
      <c r="D71" s="10" t="s">
        <v>1011</v>
      </c>
      <c r="E71" s="10" t="s">
        <v>1034</v>
      </c>
      <c r="F71" s="10" t="s">
        <v>1035</v>
      </c>
      <c r="G71" s="10" t="s">
        <v>1036</v>
      </c>
      <c r="H71" s="10" t="s">
        <v>1037</v>
      </c>
      <c r="I71" s="10" t="s">
        <v>1016</v>
      </c>
      <c r="J71" s="10" t="s">
        <v>538</v>
      </c>
      <c r="K71" s="10" t="s">
        <v>1038</v>
      </c>
      <c r="L71" s="10" t="str">
        <f>HYPERLINK("https://he-eppat.vercel.app/Backlog-HE-ONBOARDING-Prototype.html","https://he-eppat.vercel.app/Backlog-HE-ONBOARDING-Prototype.html")</f>
        <v>https://he-eppat.vercel.app/Backlog-HE-ONBOARDING-Prototype.html</v>
      </c>
      <c r="M71" s="10" t="s">
        <v>1039</v>
      </c>
      <c r="N71" s="12" t="s">
        <v>541</v>
      </c>
      <c r="O71" s="12" t="s">
        <v>27</v>
      </c>
      <c r="P71" s="13">
        <v>46321</v>
      </c>
    </row>
    <row r="72" spans="1:16" x14ac:dyDescent="0.25">
      <c r="A72" s="14">
        <v>68</v>
      </c>
      <c r="B72" s="15" t="s">
        <v>1040</v>
      </c>
      <c r="C72" s="14" t="s">
        <v>953</v>
      </c>
      <c r="D72" s="14" t="s">
        <v>1011</v>
      </c>
      <c r="E72" s="14" t="s">
        <v>1041</v>
      </c>
      <c r="F72" s="14" t="s">
        <v>1042</v>
      </c>
      <c r="G72" s="14" t="s">
        <v>1043</v>
      </c>
      <c r="H72" s="14" t="s">
        <v>1044</v>
      </c>
      <c r="I72" s="14" t="s">
        <v>1016</v>
      </c>
      <c r="J72" s="14" t="s">
        <v>641</v>
      </c>
      <c r="K72" s="14" t="s">
        <v>1045</v>
      </c>
      <c r="L72" s="14" t="str">
        <f>HYPERLINK("https://he-eppat.vercel.app/Backlog-HE-ONBOARDING-Prototype.html","https://he-eppat.vercel.app/Backlog-HE-ONBOARDING-Prototype.html")</f>
        <v>https://he-eppat.vercel.app/Backlog-HE-ONBOARDING-Prototype.html</v>
      </c>
      <c r="M72" s="14" t="s">
        <v>1046</v>
      </c>
      <c r="N72" s="12" t="s">
        <v>541</v>
      </c>
      <c r="O72" s="12" t="s">
        <v>1047</v>
      </c>
      <c r="P72" s="16">
        <v>46321</v>
      </c>
    </row>
    <row r="73" spans="1:16" x14ac:dyDescent="0.25">
      <c r="A73" s="10">
        <v>69</v>
      </c>
      <c r="B73" s="11" t="s">
        <v>101</v>
      </c>
      <c r="C73" s="10" t="s">
        <v>553</v>
      </c>
      <c r="D73" s="10" t="s">
        <v>722</v>
      </c>
      <c r="E73" s="10" t="s">
        <v>1048</v>
      </c>
      <c r="F73" s="10" t="s">
        <v>1049</v>
      </c>
      <c r="G73" s="10" t="s">
        <v>1050</v>
      </c>
      <c r="H73" s="10" t="s">
        <v>918</v>
      </c>
      <c r="I73" s="10" t="s">
        <v>1051</v>
      </c>
      <c r="J73" s="10" t="s">
        <v>641</v>
      </c>
      <c r="K73" s="10" t="s">
        <v>1052</v>
      </c>
      <c r="L73" s="10" t="str">
        <f>HYPERLINK("https://he-eppat.vercel.app/Backlog-HE-EAW-Prototype.html","https://he-eppat.vercel.app/Backlog-HE-EAW-Prototype.html")</f>
        <v>https://he-eppat.vercel.app/Backlog-HE-EAW-Prototype.html</v>
      </c>
      <c r="M73" s="10" t="s">
        <v>1053</v>
      </c>
      <c r="N73" s="12" t="s">
        <v>541</v>
      </c>
      <c r="O73" s="12" t="s">
        <v>27</v>
      </c>
      <c r="P73" s="13">
        <v>46321</v>
      </c>
    </row>
    <row r="74" spans="1:16" x14ac:dyDescent="0.25">
      <c r="A74" s="14">
        <v>70</v>
      </c>
      <c r="B74" s="15" t="s">
        <v>1054</v>
      </c>
      <c r="C74" s="14" t="s">
        <v>553</v>
      </c>
      <c r="D74" s="14" t="s">
        <v>722</v>
      </c>
      <c r="E74" s="14" t="s">
        <v>1055</v>
      </c>
      <c r="F74" s="14" t="s">
        <v>1056</v>
      </c>
      <c r="G74" s="14" t="s">
        <v>1057</v>
      </c>
      <c r="H74" s="14" t="s">
        <v>647</v>
      </c>
      <c r="I74" s="14" t="s">
        <v>1058</v>
      </c>
      <c r="J74" s="14" t="s">
        <v>538</v>
      </c>
      <c r="K74" s="14" t="s">
        <v>1059</v>
      </c>
      <c r="L74" s="14" t="str">
        <f>HYPERLINK("https://he-eppat.vercel.app/Backlog-HE-EAW-Prototype.html","https://he-eppat.vercel.app/Backlog-HE-EAW-Prototype.html")</f>
        <v>https://he-eppat.vercel.app/Backlog-HE-EAW-Prototype.html</v>
      </c>
      <c r="M74" s="14" t="s">
        <v>1060</v>
      </c>
      <c r="N74" s="12" t="s">
        <v>541</v>
      </c>
      <c r="O74" s="12" t="s">
        <v>1061</v>
      </c>
      <c r="P74" s="16">
        <v>46321</v>
      </c>
    </row>
    <row r="75" spans="1:16" x14ac:dyDescent="0.25">
      <c r="A75" s="10">
        <v>71</v>
      </c>
      <c r="B75" s="11" t="s">
        <v>1062</v>
      </c>
      <c r="C75" s="10" t="s">
        <v>553</v>
      </c>
      <c r="D75" s="10" t="s">
        <v>722</v>
      </c>
      <c r="E75" s="10" t="s">
        <v>1063</v>
      </c>
      <c r="F75" s="10" t="s">
        <v>1064</v>
      </c>
      <c r="G75" s="10" t="s">
        <v>1065</v>
      </c>
      <c r="H75" s="10" t="s">
        <v>647</v>
      </c>
      <c r="I75" s="10" t="s">
        <v>1058</v>
      </c>
      <c r="J75" s="10" t="s">
        <v>538</v>
      </c>
      <c r="K75" s="10" t="s">
        <v>1066</v>
      </c>
      <c r="L75" s="10" t="str">
        <f>HYPERLINK("https://he-eppat.vercel.app/Backlog-HE-EAW-Prototype.html","https://he-eppat.vercel.app/Backlog-HE-EAW-Prototype.html")</f>
        <v>https://he-eppat.vercel.app/Backlog-HE-EAW-Prototype.html</v>
      </c>
      <c r="M75" s="10" t="s">
        <v>1067</v>
      </c>
      <c r="N75" s="12" t="s">
        <v>541</v>
      </c>
      <c r="O75" s="12" t="s">
        <v>1068</v>
      </c>
      <c r="P75" s="13">
        <v>46321</v>
      </c>
    </row>
    <row r="76" spans="1:16" x14ac:dyDescent="0.25">
      <c r="A76" s="14">
        <v>72</v>
      </c>
      <c r="B76" s="15" t="s">
        <v>1069</v>
      </c>
      <c r="C76" s="14" t="s">
        <v>553</v>
      </c>
      <c r="D76" s="14" t="s">
        <v>722</v>
      </c>
      <c r="E76" s="14" t="s">
        <v>1070</v>
      </c>
      <c r="F76" s="14" t="s">
        <v>1071</v>
      </c>
      <c r="G76" s="14" t="s">
        <v>1072</v>
      </c>
      <c r="H76" s="14" t="s">
        <v>1073</v>
      </c>
      <c r="I76" s="14" t="s">
        <v>1074</v>
      </c>
      <c r="J76" s="14" t="s">
        <v>567</v>
      </c>
      <c r="K76" s="14" t="s">
        <v>1075</v>
      </c>
      <c r="L76" s="14" t="str">
        <f>HYPERLINK("https://he-eppat.vercel.app/Backlog-HE-EAW-Prototype.html","https://he-eppat.vercel.app/Backlog-HE-EAW-Prototype.html")</f>
        <v>https://he-eppat.vercel.app/Backlog-HE-EAW-Prototype.html</v>
      </c>
      <c r="M76" s="14" t="s">
        <v>1076</v>
      </c>
      <c r="N76" s="12" t="s">
        <v>541</v>
      </c>
      <c r="O76" s="12" t="s">
        <v>1077</v>
      </c>
      <c r="P76" s="16">
        <v>46321</v>
      </c>
    </row>
    <row r="77" spans="1:16" x14ac:dyDescent="0.25">
      <c r="A77" s="10">
        <v>73</v>
      </c>
      <c r="B77" s="11" t="s">
        <v>1078</v>
      </c>
      <c r="C77" s="10" t="s">
        <v>553</v>
      </c>
      <c r="D77" s="10" t="s">
        <v>722</v>
      </c>
      <c r="E77" s="10" t="s">
        <v>1079</v>
      </c>
      <c r="F77" s="10" t="s">
        <v>1080</v>
      </c>
      <c r="G77" s="10" t="s">
        <v>1081</v>
      </c>
      <c r="H77" s="10" t="s">
        <v>1082</v>
      </c>
      <c r="I77" s="10" t="s">
        <v>1074</v>
      </c>
      <c r="J77" s="10" t="s">
        <v>538</v>
      </c>
      <c r="K77" s="10" t="s">
        <v>1083</v>
      </c>
      <c r="L77" s="10" t="str">
        <f>HYPERLINK("https://he-eppat.vercel.app/Backlog-HE-EAW-Prototype.html","https://he-eppat.vercel.app/Backlog-HE-EAW-Prototype.html")</f>
        <v>https://he-eppat.vercel.app/Backlog-HE-EAW-Prototype.html</v>
      </c>
      <c r="M77" s="10" t="s">
        <v>1084</v>
      </c>
      <c r="N77" s="12" t="s">
        <v>541</v>
      </c>
      <c r="O77" s="12" t="s">
        <v>27</v>
      </c>
      <c r="P77" s="13">
        <v>46321</v>
      </c>
    </row>
    <row r="78" spans="1:16" x14ac:dyDescent="0.25">
      <c r="A78" s="14">
        <v>74</v>
      </c>
      <c r="B78" s="15" t="s">
        <v>1085</v>
      </c>
      <c r="C78" s="14" t="s">
        <v>553</v>
      </c>
      <c r="D78" s="14" t="s">
        <v>722</v>
      </c>
      <c r="E78" s="14" t="s">
        <v>1086</v>
      </c>
      <c r="F78" s="14" t="s">
        <v>1087</v>
      </c>
      <c r="G78" s="14" t="s">
        <v>1088</v>
      </c>
      <c r="H78" s="14" t="s">
        <v>741</v>
      </c>
      <c r="I78" s="14" t="s">
        <v>1074</v>
      </c>
      <c r="J78" s="14" t="s">
        <v>567</v>
      </c>
      <c r="K78" s="14" t="s">
        <v>1089</v>
      </c>
      <c r="L78" s="14" t="str">
        <f>HYPERLINK("https://he-eppat.vercel.app/Backlog-HE-EAW-Prototype.html","https://he-eppat.vercel.app/Backlog-HE-EAW-Prototype.html")</f>
        <v>https://he-eppat.vercel.app/Backlog-HE-EAW-Prototype.html</v>
      </c>
      <c r="M78" s="14" t="s">
        <v>1090</v>
      </c>
      <c r="N78" s="12" t="s">
        <v>541</v>
      </c>
      <c r="O78" s="12" t="s">
        <v>27</v>
      </c>
      <c r="P78" s="16">
        <v>46321</v>
      </c>
    </row>
    <row r="79" spans="10:14" x14ac:dyDescent="0.25"/>
    <row r="80" spans="10:14" x14ac:dyDescent="0.25"/>
    <row r="81" spans="10:14" x14ac:dyDescent="0.25"/>
    <row r="82" spans="10:14" x14ac:dyDescent="0.25"/>
    <row r="83" spans="10:14" x14ac:dyDescent="0.25"/>
    <row r="84" spans="10:14" x14ac:dyDescent="0.25"/>
    <row r="85" spans="10:14" x14ac:dyDescent="0.25"/>
    <row r="86" spans="10:14" x14ac:dyDescent="0.25"/>
    <row r="87" spans="10:14" x14ac:dyDescent="0.25"/>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row r="201" spans="10:14" x14ac:dyDescent="0.25"/>
    <row r="202" spans="10:14" x14ac:dyDescent="0.25"/>
    <row r="203" spans="10:14" x14ac:dyDescent="0.25"/>
    <row r="204" spans="10:14" x14ac:dyDescent="0.25"/>
    <row r="205" spans="10:14" x14ac:dyDescent="0.25"/>
    <row r="206" spans="10:14" x14ac:dyDescent="0.25"/>
    <row r="207" spans="10:14" x14ac:dyDescent="0.25"/>
    <row r="208" spans="10:14" x14ac:dyDescent="0.25"/>
    <row r="209" spans="10:14" x14ac:dyDescent="0.25"/>
    <row r="210" spans="10:14" x14ac:dyDescent="0.25"/>
    <row r="211" spans="10:14" x14ac:dyDescent="0.25"/>
    <row r="212" spans="10:14" x14ac:dyDescent="0.25"/>
    <row r="213" spans="10:14" x14ac:dyDescent="0.25"/>
    <row r="214" spans="10:14" x14ac:dyDescent="0.25"/>
    <row r="215" spans="10:14" x14ac:dyDescent="0.25"/>
    <row r="216" spans="10:14" x14ac:dyDescent="0.25"/>
    <row r="217" spans="10:14" x14ac:dyDescent="0.25"/>
    <row r="218" spans="10:14" x14ac:dyDescent="0.25"/>
    <row r="219" spans="10:14" x14ac:dyDescent="0.25"/>
    <row r="220" spans="10:14" x14ac:dyDescent="0.25"/>
    <row r="221" spans="10:14" x14ac:dyDescent="0.25"/>
    <row r="222" spans="10:14" x14ac:dyDescent="0.25"/>
    <row r="223" spans="10:14" x14ac:dyDescent="0.25"/>
    <row r="224" spans="10:14" x14ac:dyDescent="0.25"/>
    <row r="225" spans="10:14" x14ac:dyDescent="0.25"/>
    <row r="226" spans="10:14" x14ac:dyDescent="0.25"/>
    <row r="227" spans="10:14" x14ac:dyDescent="0.25"/>
    <row r="228" spans="10:14" x14ac:dyDescent="0.25"/>
    <row r="229" spans="10:14" x14ac:dyDescent="0.25"/>
    <row r="230" spans="10:14" x14ac:dyDescent="0.25"/>
    <row r="231" spans="10:14" x14ac:dyDescent="0.25"/>
    <row r="232" spans="10:14" x14ac:dyDescent="0.25"/>
    <row r="233" spans="10:14" x14ac:dyDescent="0.25"/>
    <row r="234" spans="10:14" x14ac:dyDescent="0.25"/>
    <row r="235" spans="10:14" x14ac:dyDescent="0.25"/>
    <row r="236" spans="10:14" x14ac:dyDescent="0.25"/>
    <row r="237" spans="10:14" x14ac:dyDescent="0.25"/>
    <row r="238" spans="10:14" x14ac:dyDescent="0.25"/>
    <row r="239" spans="10:14" x14ac:dyDescent="0.25"/>
    <row r="240" spans="10:14" x14ac:dyDescent="0.25"/>
    <row r="241" spans="10:14" x14ac:dyDescent="0.25"/>
    <row r="242" spans="10:14" x14ac:dyDescent="0.25"/>
    <row r="243" spans="10:14" x14ac:dyDescent="0.25"/>
    <row r="244" spans="10:14" x14ac:dyDescent="0.25"/>
    <row r="245" spans="10:14" x14ac:dyDescent="0.25"/>
    <row r="246" spans="10:14" x14ac:dyDescent="0.25"/>
    <row r="247" spans="10:14" x14ac:dyDescent="0.25"/>
    <row r="248" spans="10:14" x14ac:dyDescent="0.25"/>
    <row r="249" spans="10:14" x14ac:dyDescent="0.25"/>
    <row r="250" spans="10:14" x14ac:dyDescent="0.25"/>
    <row r="251" spans="10:14" x14ac:dyDescent="0.25"/>
    <row r="252" spans="10:14" x14ac:dyDescent="0.25"/>
    <row r="253" spans="10:14" x14ac:dyDescent="0.25"/>
    <row r="254" spans="10:14" x14ac:dyDescent="0.25"/>
    <row r="255" spans="10:14" x14ac:dyDescent="0.25"/>
    <row r="256" spans="10:14" x14ac:dyDescent="0.25"/>
    <row r="257" spans="10:14" x14ac:dyDescent="0.25"/>
    <row r="258" spans="10:14" x14ac:dyDescent="0.25"/>
    <row r="259" spans="10:14" x14ac:dyDescent="0.25"/>
    <row r="260" spans="10:14" x14ac:dyDescent="0.25"/>
    <row r="261" spans="10:14" x14ac:dyDescent="0.25"/>
    <row r="262" spans="10:14" x14ac:dyDescent="0.25"/>
    <row r="263" spans="10:14" x14ac:dyDescent="0.25"/>
    <row r="264" spans="10:14" x14ac:dyDescent="0.25"/>
    <row r="265" spans="10:14" x14ac:dyDescent="0.25"/>
    <row r="266" spans="10:14" x14ac:dyDescent="0.25"/>
    <row r="267" spans="10:14" x14ac:dyDescent="0.25"/>
    <row r="268" spans="10:14" x14ac:dyDescent="0.25"/>
    <row r="269" spans="10:14" x14ac:dyDescent="0.25"/>
    <row r="270" spans="10:14" x14ac:dyDescent="0.25"/>
    <row r="271" spans="10:14" x14ac:dyDescent="0.25"/>
    <row r="272" spans="10:14" x14ac:dyDescent="0.25"/>
    <row r="273" spans="10:14" x14ac:dyDescent="0.25"/>
    <row r="274" spans="10:14" x14ac:dyDescent="0.25"/>
    <row r="275" spans="10:14" x14ac:dyDescent="0.25"/>
    <row r="276" spans="10:14" x14ac:dyDescent="0.25"/>
    <row r="277" spans="10:14" x14ac:dyDescent="0.25"/>
    <row r="278" spans="10:14" x14ac:dyDescent="0.25"/>
    <row r="279" spans="10:14" x14ac:dyDescent="0.25"/>
    <row r="280" spans="10:14" x14ac:dyDescent="0.25"/>
    <row r="281" spans="10:14" x14ac:dyDescent="0.25"/>
    <row r="282" spans="10:14" x14ac:dyDescent="0.25"/>
    <row r="283" spans="10:14" x14ac:dyDescent="0.25"/>
    <row r="284" spans="10:14" x14ac:dyDescent="0.25"/>
    <row r="285" spans="10:14" x14ac:dyDescent="0.25"/>
    <row r="286" spans="10:14" x14ac:dyDescent="0.25"/>
    <row r="287" spans="10:14" x14ac:dyDescent="0.25"/>
    <row r="288" spans="10:14" x14ac:dyDescent="0.25"/>
    <row r="289" spans="10:14" x14ac:dyDescent="0.25"/>
    <row r="290" spans="10:14" x14ac:dyDescent="0.25"/>
    <row r="291" spans="10:14" x14ac:dyDescent="0.25"/>
    <row r="292" spans="10:14" x14ac:dyDescent="0.25"/>
    <row r="293" spans="10:14" x14ac:dyDescent="0.25"/>
    <row r="294" spans="10:14" x14ac:dyDescent="0.25"/>
    <row r="295" spans="10:14" x14ac:dyDescent="0.25"/>
    <row r="296" spans="10:14" x14ac:dyDescent="0.25"/>
    <row r="297" spans="10:14" x14ac:dyDescent="0.25"/>
    <row r="298" spans="10:14" x14ac:dyDescent="0.25"/>
    <row r="299" spans="10:14" x14ac:dyDescent="0.25"/>
    <row r="300" spans="10:14" x14ac:dyDescent="0.25"/>
  </sheetData>
  <autoFilter ref="A4:P78"/>
  <mergeCells count="3">
    <mergeCell ref="A1:P1"/>
    <mergeCell ref="A2:P2"/>
    <mergeCell ref="A3:F3"/>
  </mergeCells>
  <dataValidations count="6">
    <dataValidation type="list" sqref="C10:C78">
      <formula1>"Onboarding,Tenant,Platform,Semua"</formula1>
    </dataValidation>
    <dataValidation type="list" sqref="C5:C78">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N10:N300">
      <formula1>"Usulan,Prototipe siap,Perlu konfirmasi,Disetujui,Dikerjakan developer,Selesai,Ditunda"</formula1>
    </dataValidation>
    <dataValidation type="list" allowBlank="1" sqref="N5:N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1091</v>
      </c>
      <c r="B1" s="1"/>
      <c r="C1" s="1"/>
      <c r="D1" s="1"/>
      <c r="E1" s="1"/>
      <c r="F1" s="1"/>
      <c r="G1" s="1"/>
      <c r="H1" s="1"/>
      <c r="I1" s="1"/>
      <c r="J1" s="1"/>
      <c r="K1" s="1"/>
      <c r="L1" s="1"/>
      <c r="M1" s="1"/>
    </row>
    <row r="2" spans="1:13" x14ac:dyDescent="0.25">
      <c r="A2" s="2" t="s">
        <v>1092</v>
      </c>
      <c r="B2" s="2"/>
      <c r="C2" s="2"/>
      <c r="D2" s="2"/>
      <c r="E2" s="2"/>
      <c r="F2" s="2"/>
      <c r="G2" s="2"/>
      <c r="H2" s="2"/>
      <c r="I2" s="2"/>
      <c r="J2" s="2"/>
      <c r="K2" s="2"/>
      <c r="L2" s="2"/>
      <c r="M2" s="2"/>
    </row>
    <row r="3" ht="18" customHeight="1" spans="1:6" x14ac:dyDescent="0.25">
      <c r="A3" s="9" t="str">
        <f>HYPERLINK("https://he-eppat.vercel.app/index.html#tenant","Situs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1096</v>
      </c>
      <c r="C5" s="10" t="s">
        <v>1097</v>
      </c>
      <c r="D5" s="10" t="s">
        <v>1098</v>
      </c>
      <c r="E5" s="10" t="s">
        <v>1099</v>
      </c>
      <c r="F5" s="10" t="s">
        <v>1100</v>
      </c>
      <c r="G5" s="10" t="s">
        <v>567</v>
      </c>
      <c r="H5" s="10" t="s">
        <v>1101</v>
      </c>
      <c r="I5" s="10" t="str">
        <f>HYPERLINK("https://he-eppat.vercel.app/Backlog-IDDS-TN-MASUK-Prototype.html","https://he-eppat.vercel.app/Backlog-IDDS-TN-MASUK-Prototype.html")</f>
        <v>https://he-eppat.vercel.app/Backlog-IDDS-TN-MASUK-Prototype.html</v>
      </c>
      <c r="J5" s="10" t="s">
        <v>1102</v>
      </c>
      <c r="K5" s="12" t="s">
        <v>541</v>
      </c>
      <c r="L5" s="12" t="s">
        <v>27</v>
      </c>
      <c r="M5" s="13">
        <v>46321</v>
      </c>
    </row>
    <row r="6" spans="1:13" x14ac:dyDescent="0.25">
      <c r="A6" s="14">
        <v>2</v>
      </c>
      <c r="B6" s="15" t="s">
        <v>130</v>
      </c>
      <c r="C6" s="14" t="s">
        <v>1097</v>
      </c>
      <c r="D6" s="14" t="s">
        <v>1103</v>
      </c>
      <c r="E6" s="14" t="s">
        <v>1104</v>
      </c>
      <c r="F6" s="14" t="s">
        <v>1105</v>
      </c>
      <c r="G6" s="14" t="s">
        <v>567</v>
      </c>
      <c r="H6" s="14" t="s">
        <v>1101</v>
      </c>
      <c r="I6" s="14" t="str">
        <f>HYPERLINK("https://he-eppat.vercel.app/Backlog-IDDS-TN-MASUK-Prototype.html","https://he-eppat.vercel.app/Backlog-IDDS-TN-MASUK-Prototype.html")</f>
        <v>https://he-eppat.vercel.app/Backlog-IDDS-TN-MASUK-Prototype.html</v>
      </c>
      <c r="J6" s="14" t="s">
        <v>1106</v>
      </c>
      <c r="K6" s="12" t="s">
        <v>541</v>
      </c>
      <c r="L6" s="12" t="s">
        <v>27</v>
      </c>
      <c r="M6" s="16">
        <v>46321</v>
      </c>
    </row>
    <row r="7" spans="1:13" x14ac:dyDescent="0.25">
      <c r="A7" s="10">
        <v>3</v>
      </c>
      <c r="B7" s="11" t="s">
        <v>1107</v>
      </c>
      <c r="C7" s="10" t="s">
        <v>1097</v>
      </c>
      <c r="D7" s="10" t="s">
        <v>1108</v>
      </c>
      <c r="E7" s="10" t="s">
        <v>1109</v>
      </c>
      <c r="F7" s="10" t="s">
        <v>1110</v>
      </c>
      <c r="G7" s="10" t="s">
        <v>641</v>
      </c>
      <c r="H7" s="10" t="s">
        <v>1101</v>
      </c>
      <c r="I7" s="10" t="str">
        <f>HYPERLINK("https://he-eppat.vercel.app/Backlog-IDDS-TN-MASUK-Prototype.html","https://he-eppat.vercel.app/Backlog-IDDS-TN-MASUK-Prototype.html")</f>
        <v>https://he-eppat.vercel.app/Backlog-IDDS-TN-MASUK-Prototype.html</v>
      </c>
      <c r="J7" s="10" t="s">
        <v>1111</v>
      </c>
      <c r="K7" s="12" t="s">
        <v>541</v>
      </c>
      <c r="L7" s="12" t="s">
        <v>1112</v>
      </c>
      <c r="M7" s="13">
        <v>46321</v>
      </c>
    </row>
    <row r="8" spans="1:13" x14ac:dyDescent="0.25">
      <c r="A8" s="14">
        <v>4</v>
      </c>
      <c r="B8" s="15" t="s">
        <v>1113</v>
      </c>
      <c r="C8" s="14" t="s">
        <v>1097</v>
      </c>
      <c r="D8" s="14" t="s">
        <v>1114</v>
      </c>
      <c r="E8" s="14" t="s">
        <v>1115</v>
      </c>
      <c r="F8" s="14" t="s">
        <v>1116</v>
      </c>
      <c r="G8" s="14" t="s">
        <v>641</v>
      </c>
      <c r="H8" s="14" t="s">
        <v>1101</v>
      </c>
      <c r="I8" s="14" t="str">
        <f>HYPERLINK("https://he-eppat.vercel.app/Backlog-IDDS-TN-MASUK-Prototype.html","https://he-eppat.vercel.app/Backlog-IDDS-TN-MASUK-Prototype.html")</f>
        <v>https://he-eppat.vercel.app/Backlog-IDDS-TN-MASUK-Prototype.html</v>
      </c>
      <c r="J8" s="14" t="s">
        <v>1117</v>
      </c>
      <c r="K8" s="12" t="s">
        <v>541</v>
      </c>
      <c r="L8" s="12" t="s">
        <v>27</v>
      </c>
      <c r="M8" s="16">
        <v>46321</v>
      </c>
    </row>
    <row r="9" spans="1:13" x14ac:dyDescent="0.25">
      <c r="A9" s="10">
        <v>5</v>
      </c>
      <c r="B9" s="11" t="s">
        <v>1118</v>
      </c>
      <c r="C9" s="10" t="s">
        <v>1097</v>
      </c>
      <c r="D9" s="10" t="s">
        <v>1119</v>
      </c>
      <c r="E9" s="10" t="s">
        <v>1120</v>
      </c>
      <c r="F9" s="10" t="s">
        <v>1121</v>
      </c>
      <c r="G9" s="10" t="s">
        <v>567</v>
      </c>
      <c r="H9" s="10" t="s">
        <v>1101</v>
      </c>
      <c r="I9" s="10" t="str">
        <f>HYPERLINK("https://he-eppat.vercel.app/Backlog-IDDS-TN-MASUK-Prototype.html","https://he-eppat.vercel.app/Backlog-IDDS-TN-MASUK-Prototype.html")</f>
        <v>https://he-eppat.vercel.app/Backlog-IDDS-TN-MASUK-Prototype.html</v>
      </c>
      <c r="J9" s="10" t="s">
        <v>1122</v>
      </c>
      <c r="K9" s="12" t="s">
        <v>541</v>
      </c>
      <c r="L9" s="12" t="s">
        <v>27</v>
      </c>
      <c r="M9" s="13">
        <v>46321</v>
      </c>
    </row>
    <row r="10" spans="1:13" x14ac:dyDescent="0.25">
      <c r="A10" s="14">
        <v>6</v>
      </c>
      <c r="B10" s="15" t="s">
        <v>347</v>
      </c>
      <c r="C10" s="14" t="s">
        <v>1097</v>
      </c>
      <c r="D10" s="14" t="s">
        <v>1123</v>
      </c>
      <c r="E10" s="14" t="s">
        <v>1124</v>
      </c>
      <c r="F10" s="14" t="s">
        <v>1125</v>
      </c>
      <c r="G10" s="14" t="s">
        <v>641</v>
      </c>
      <c r="H10" s="14" t="s">
        <v>1101</v>
      </c>
      <c r="I10" s="14" t="str">
        <f>HYPERLINK("https://he-eppat.vercel.app/Backlog-IDDS-TN-MASUK-Prototype.html","https://he-eppat.vercel.app/Backlog-IDDS-TN-MASUK-Prototype.html")</f>
        <v>https://he-eppat.vercel.app/Backlog-IDDS-TN-MASUK-Prototype.html</v>
      </c>
      <c r="J10" s="14" t="s">
        <v>1126</v>
      </c>
      <c r="K10" s="12" t="s">
        <v>541</v>
      </c>
      <c r="L10" s="12" t="s">
        <v>1127</v>
      </c>
      <c r="M10" s="16">
        <v>46321</v>
      </c>
    </row>
    <row r="11" spans="1:13" x14ac:dyDescent="0.25">
      <c r="A11" s="10">
        <v>7</v>
      </c>
      <c r="B11" s="11" t="s">
        <v>1128</v>
      </c>
      <c r="C11" s="10" t="s">
        <v>1097</v>
      </c>
      <c r="D11" s="10" t="s">
        <v>1129</v>
      </c>
      <c r="E11" s="10" t="s">
        <v>1130</v>
      </c>
      <c r="F11" s="10" t="s">
        <v>1131</v>
      </c>
      <c r="G11" s="10" t="s">
        <v>567</v>
      </c>
      <c r="H11" s="10" t="s">
        <v>1101</v>
      </c>
      <c r="I11" s="10" t="str">
        <f>HYPERLINK("https://he-eppat.vercel.app/Backlog-IDDS-TN-MASUK-Prototype.html","https://he-eppat.vercel.app/Backlog-IDDS-TN-MASUK-Prototype.html")</f>
        <v>https://he-eppat.vercel.app/Backlog-IDDS-TN-MASUK-Prototype.html</v>
      </c>
      <c r="J11" s="10" t="s">
        <v>1132</v>
      </c>
      <c r="K11" s="12" t="s">
        <v>541</v>
      </c>
      <c r="L11" s="12" t="s">
        <v>1133</v>
      </c>
      <c r="M11" s="13">
        <v>46321</v>
      </c>
    </row>
    <row r="12" spans="1:13" x14ac:dyDescent="0.25">
      <c r="A12" s="14">
        <v>8</v>
      </c>
      <c r="B12" s="15" t="s">
        <v>1134</v>
      </c>
      <c r="C12" s="14" t="s">
        <v>1135</v>
      </c>
      <c r="D12" s="14" t="s">
        <v>1136</v>
      </c>
      <c r="E12" s="14" t="s">
        <v>1137</v>
      </c>
      <c r="F12" s="14" t="s">
        <v>1138</v>
      </c>
      <c r="G12" s="14" t="s">
        <v>641</v>
      </c>
      <c r="H12" s="14" t="s">
        <v>1139</v>
      </c>
      <c r="I12" s="14" t="str">
        <f>HYPERLINK("https://he-eppat.vercel.app/Backlog-IDDS-TN-SYSTEM-Prototype.html","https://he-eppat.vercel.app/Backlog-IDDS-TN-SYSTEM-Prototype.html")</f>
        <v>https://he-eppat.vercel.app/Backlog-IDDS-TN-SYSTEM-Prototype.html</v>
      </c>
      <c r="J12" s="14" t="s">
        <v>1140</v>
      </c>
      <c r="K12" s="12" t="s">
        <v>541</v>
      </c>
      <c r="L12" s="12" t="s">
        <v>27</v>
      </c>
      <c r="M12" s="16">
        <v>46321</v>
      </c>
    </row>
    <row r="13" spans="1:13" x14ac:dyDescent="0.25">
      <c r="A13" s="10">
        <v>9</v>
      </c>
      <c r="B13" s="11" t="s">
        <v>1141</v>
      </c>
      <c r="C13" s="10" t="s">
        <v>1135</v>
      </c>
      <c r="D13" s="10" t="s">
        <v>1142</v>
      </c>
      <c r="E13" s="10" t="s">
        <v>1143</v>
      </c>
      <c r="F13" s="10" t="s">
        <v>1144</v>
      </c>
      <c r="G13" s="10" t="s">
        <v>641</v>
      </c>
      <c r="H13" s="10" t="s">
        <v>1139</v>
      </c>
      <c r="I13" s="10" t="str">
        <f>HYPERLINK("https://he-eppat.vercel.app/Backlog-IDDS-TN-SYSTEM-Prototype.html","https://he-eppat.vercel.app/Backlog-IDDS-TN-SYSTEM-Prototype.html")</f>
        <v>https://he-eppat.vercel.app/Backlog-IDDS-TN-SYSTEM-Prototype.html</v>
      </c>
      <c r="J13" s="10" t="s">
        <v>1145</v>
      </c>
      <c r="K13" s="12" t="s">
        <v>541</v>
      </c>
      <c r="L13" s="12" t="s">
        <v>27</v>
      </c>
      <c r="M13" s="13">
        <v>46321</v>
      </c>
    </row>
    <row r="14" spans="1:13" x14ac:dyDescent="0.25">
      <c r="A14" s="14">
        <v>10</v>
      </c>
      <c r="B14" s="15" t="s">
        <v>1146</v>
      </c>
      <c r="C14" s="14" t="s">
        <v>1147</v>
      </c>
      <c r="D14" s="14" t="s">
        <v>1148</v>
      </c>
      <c r="E14" s="14" t="s">
        <v>1149</v>
      </c>
      <c r="F14" s="14" t="s">
        <v>1150</v>
      </c>
      <c r="G14" s="14" t="s">
        <v>567</v>
      </c>
      <c r="H14" s="14" t="s">
        <v>1151</v>
      </c>
      <c r="I14" s="14" t="str">
        <f>HYPERLINK("https://he-eppat.vercel.app/Backlog-IDDS-TN-SYSTEM-Prototype.html","https://he-eppat.vercel.app/Backlog-IDDS-TN-SYSTEM-Prototype.html")</f>
        <v>https://he-eppat.vercel.app/Backlog-IDDS-TN-SYSTEM-Prototype.html</v>
      </c>
      <c r="J14" s="14" t="s">
        <v>1152</v>
      </c>
      <c r="K14" s="12" t="s">
        <v>541</v>
      </c>
      <c r="L14" s="12" t="s">
        <v>27</v>
      </c>
      <c r="M14" s="16">
        <v>46321</v>
      </c>
    </row>
    <row r="15" spans="1:13" x14ac:dyDescent="0.25">
      <c r="A15" s="10">
        <v>11</v>
      </c>
      <c r="B15" s="11" t="s">
        <v>1153</v>
      </c>
      <c r="C15" s="10" t="s">
        <v>1147</v>
      </c>
      <c r="D15" s="10" t="s">
        <v>1154</v>
      </c>
      <c r="E15" s="10" t="s">
        <v>1155</v>
      </c>
      <c r="F15" s="10" t="s">
        <v>1156</v>
      </c>
      <c r="G15" s="10" t="s">
        <v>641</v>
      </c>
      <c r="H15" s="10" t="s">
        <v>1151</v>
      </c>
      <c r="I15" s="10" t="str">
        <f>HYPERLINK("https://he-eppat.vercel.app/Backlog-IDDS-TN-SYSTEM-Prototype.html","https://he-eppat.vercel.app/Backlog-IDDS-TN-SYSTEM-Prototype.html")</f>
        <v>https://he-eppat.vercel.app/Backlog-IDDS-TN-SYSTEM-Prototype.html</v>
      </c>
      <c r="J15" s="10" t="s">
        <v>1157</v>
      </c>
      <c r="K15" s="12" t="s">
        <v>541</v>
      </c>
      <c r="L15" s="12" t="s">
        <v>27</v>
      </c>
      <c r="M15" s="13">
        <v>46321</v>
      </c>
    </row>
    <row r="16" spans="1:13" x14ac:dyDescent="0.25">
      <c r="A16" s="14">
        <v>12</v>
      </c>
      <c r="B16" s="15" t="s">
        <v>1158</v>
      </c>
      <c r="C16" s="14" t="s">
        <v>1147</v>
      </c>
      <c r="D16" s="14" t="s">
        <v>1159</v>
      </c>
      <c r="E16" s="14" t="s">
        <v>1160</v>
      </c>
      <c r="F16" s="14" t="s">
        <v>1161</v>
      </c>
      <c r="G16" s="14" t="s">
        <v>567</v>
      </c>
      <c r="H16" s="14" t="s">
        <v>1151</v>
      </c>
      <c r="I16" s="14" t="str">
        <f>HYPERLINK("https://he-eppat.vercel.app/Backlog-IDDS-TN-SYSTEM-Prototype.html","https://he-eppat.vercel.app/Backlog-IDDS-TN-SYSTEM-Prototype.html")</f>
        <v>https://he-eppat.vercel.app/Backlog-IDDS-TN-SYSTEM-Prototype.html</v>
      </c>
      <c r="J16" s="14" t="s">
        <v>1162</v>
      </c>
      <c r="K16" s="12" t="s">
        <v>541</v>
      </c>
      <c r="L16" s="12" t="s">
        <v>1163</v>
      </c>
      <c r="M16" s="16">
        <v>46321</v>
      </c>
    </row>
    <row r="17" spans="1:13" x14ac:dyDescent="0.25">
      <c r="A17" s="10">
        <v>13</v>
      </c>
      <c r="B17" s="11" t="s">
        <v>366</v>
      </c>
      <c r="C17" s="10" t="s">
        <v>1164</v>
      </c>
      <c r="D17" s="10" t="s">
        <v>1165</v>
      </c>
      <c r="E17" s="10" t="s">
        <v>1166</v>
      </c>
      <c r="F17" s="10" t="s">
        <v>1167</v>
      </c>
      <c r="G17" s="10" t="s">
        <v>567</v>
      </c>
      <c r="H17" s="10" t="s">
        <v>1168</v>
      </c>
      <c r="I17" s="10" t="str">
        <f>HYPERLINK("https://he-eppat.vercel.app/Backlog-IDDS-TN-SYSTEM-Prototype.html","https://he-eppat.vercel.app/Backlog-IDDS-TN-SYSTEM-Prototype.html")</f>
        <v>https://he-eppat.vercel.app/Backlog-IDDS-TN-SYSTEM-Prototype.html</v>
      </c>
      <c r="J17" s="10" t="s">
        <v>1169</v>
      </c>
      <c r="K17" s="12" t="s">
        <v>541</v>
      </c>
      <c r="L17" s="12" t="s">
        <v>27</v>
      </c>
      <c r="M17" s="13">
        <v>46321</v>
      </c>
    </row>
    <row r="18" spans="1:13" x14ac:dyDescent="0.25">
      <c r="A18" s="14">
        <v>14</v>
      </c>
      <c r="B18" s="15" t="s">
        <v>1170</v>
      </c>
      <c r="C18" s="14" t="s">
        <v>1171</v>
      </c>
      <c r="D18" s="14" t="s">
        <v>1172</v>
      </c>
      <c r="E18" s="14" t="s">
        <v>1173</v>
      </c>
      <c r="F18" s="14" t="s">
        <v>1174</v>
      </c>
      <c r="G18" s="14" t="s">
        <v>641</v>
      </c>
      <c r="H18" s="14" t="s">
        <v>1175</v>
      </c>
      <c r="I18" s="14" t="str">
        <f>HYPERLINK("https://he-eppat.vercel.app/Backlog-IDDS-TN-SYSTEM-Prototype.html","https://he-eppat.vercel.app/Backlog-IDDS-TN-SYSTEM-Prototype.html")</f>
        <v>https://he-eppat.vercel.app/Backlog-IDDS-TN-SYSTEM-Prototype.html</v>
      </c>
      <c r="J18" s="14" t="s">
        <v>1176</v>
      </c>
      <c r="K18" s="12" t="s">
        <v>541</v>
      </c>
      <c r="L18" s="12" t="s">
        <v>27</v>
      </c>
      <c r="M18" s="16">
        <v>46321</v>
      </c>
    </row>
    <row r="19" spans="1:13" x14ac:dyDescent="0.25">
      <c r="A19" s="10">
        <v>15</v>
      </c>
      <c r="B19" s="11" t="s">
        <v>1177</v>
      </c>
      <c r="C19" s="10" t="s">
        <v>1178</v>
      </c>
      <c r="D19" s="10" t="s">
        <v>1179</v>
      </c>
      <c r="E19" s="10" t="s">
        <v>1180</v>
      </c>
      <c r="F19" s="10" t="s">
        <v>1181</v>
      </c>
      <c r="G19" s="10" t="s">
        <v>567</v>
      </c>
      <c r="H19" s="10" t="s">
        <v>1182</v>
      </c>
      <c r="I19" s="10" t="str">
        <f>HYPERLINK("https://he-eppat.vercel.app/Backlog-IDDS-TN-SYSTEM-Prototype.html","https://he-eppat.vercel.app/Backlog-IDDS-TN-SYSTEM-Prototype.html")</f>
        <v>https://he-eppat.vercel.app/Backlog-IDDS-TN-SYSTEM-Prototype.html</v>
      </c>
      <c r="J19" s="10" t="s">
        <v>1183</v>
      </c>
      <c r="K19" s="12" t="s">
        <v>541</v>
      </c>
      <c r="L19" s="12" t="s">
        <v>1184</v>
      </c>
      <c r="M19" s="13">
        <v>46321</v>
      </c>
    </row>
    <row r="20" spans="1:13" x14ac:dyDescent="0.25">
      <c r="A20" s="14">
        <v>16</v>
      </c>
      <c r="B20" s="15" t="s">
        <v>81</v>
      </c>
      <c r="C20" s="14" t="s">
        <v>1178</v>
      </c>
      <c r="D20" s="14" t="s">
        <v>1185</v>
      </c>
      <c r="E20" s="14" t="s">
        <v>1186</v>
      </c>
      <c r="F20" s="14" t="s">
        <v>1187</v>
      </c>
      <c r="G20" s="14" t="s">
        <v>641</v>
      </c>
      <c r="H20" s="14" t="s">
        <v>1182</v>
      </c>
      <c r="I20" s="14" t="str">
        <f>HYPERLINK("https://he-eppat.vercel.app/Backlog-IDDS-TN-SYSTEM-Prototype.html","https://he-eppat.vercel.app/Backlog-IDDS-TN-SYSTEM-Prototype.html")</f>
        <v>https://he-eppat.vercel.app/Backlog-IDDS-TN-SYSTEM-Prototype.html</v>
      </c>
      <c r="J20" s="14" t="s">
        <v>1188</v>
      </c>
      <c r="K20" s="12" t="s">
        <v>541</v>
      </c>
      <c r="L20" s="12" t="s">
        <v>27</v>
      </c>
      <c r="M20" s="16">
        <v>46321</v>
      </c>
    </row>
    <row r="21" spans="1:13" x14ac:dyDescent="0.25">
      <c r="A21" s="10">
        <v>17</v>
      </c>
      <c r="B21" s="11" t="s">
        <v>1189</v>
      </c>
      <c r="C21" s="10" t="s">
        <v>1190</v>
      </c>
      <c r="D21" s="10" t="s">
        <v>1191</v>
      </c>
      <c r="E21" s="10" t="s">
        <v>1192</v>
      </c>
      <c r="F21" s="10" t="s">
        <v>1193</v>
      </c>
      <c r="G21" s="10" t="s">
        <v>538</v>
      </c>
      <c r="H21" s="10" t="s">
        <v>1194</v>
      </c>
      <c r="I21" s="10" t="str">
        <f>HYPERLINK("https://he-eppat.vercel.app/Backlog-IDDS-TN-CMS-Prototype.html","https://he-eppat.vercel.app/Backlog-IDDS-TN-CMS-Prototype.html")</f>
        <v>https://he-eppat.vercel.app/Backlog-IDDS-TN-CMS-Prototype.html</v>
      </c>
      <c r="J21" s="10" t="s">
        <v>1195</v>
      </c>
      <c r="K21" s="12" t="s">
        <v>541</v>
      </c>
      <c r="L21" s="12" t="s">
        <v>1196</v>
      </c>
      <c r="M21" s="13">
        <v>46321</v>
      </c>
    </row>
    <row r="22" spans="1:13" x14ac:dyDescent="0.25">
      <c r="A22" s="14">
        <v>18</v>
      </c>
      <c r="B22" s="15" t="s">
        <v>1197</v>
      </c>
      <c r="C22" s="14" t="s">
        <v>1198</v>
      </c>
      <c r="D22" s="14" t="s">
        <v>1199</v>
      </c>
      <c r="E22" s="14" t="s">
        <v>1200</v>
      </c>
      <c r="F22" s="14" t="s">
        <v>1201</v>
      </c>
      <c r="G22" s="14" t="s">
        <v>567</v>
      </c>
      <c r="H22" s="14" t="s">
        <v>1202</v>
      </c>
      <c r="I22" s="14" t="str">
        <f>HYPERLINK("https://he-eppat.vercel.app/Backlog-IDDS-TN-CMS-Prototype.html","https://he-eppat.vercel.app/Backlog-IDDS-TN-CMS-Prototype.html")</f>
        <v>https://he-eppat.vercel.app/Backlog-IDDS-TN-CMS-Prototype.html</v>
      </c>
      <c r="J22" s="14" t="s">
        <v>1203</v>
      </c>
      <c r="K22" s="12" t="s">
        <v>541</v>
      </c>
      <c r="L22" s="12" t="s">
        <v>27</v>
      </c>
      <c r="M22" s="16">
        <v>46321</v>
      </c>
    </row>
    <row r="23" spans="1:13" x14ac:dyDescent="0.25">
      <c r="A23" s="10">
        <v>19</v>
      </c>
      <c r="B23" s="11" t="s">
        <v>1204</v>
      </c>
      <c r="C23" s="10" t="s">
        <v>1205</v>
      </c>
      <c r="D23" s="10" t="s">
        <v>1206</v>
      </c>
      <c r="E23" s="10" t="s">
        <v>1207</v>
      </c>
      <c r="F23" s="10" t="s">
        <v>1208</v>
      </c>
      <c r="G23" s="10" t="s">
        <v>538</v>
      </c>
      <c r="H23" s="10" t="s">
        <v>1209</v>
      </c>
      <c r="I23" s="10" t="str">
        <f>HYPERLINK("https://he-eppat.vercel.app/Backlog-IDDS-TN-CMS-Prototype.html","https://he-eppat.vercel.app/Backlog-IDDS-TN-CMS-Prototype.html")</f>
        <v>https://he-eppat.vercel.app/Backlog-IDDS-TN-CMS-Prototype.html</v>
      </c>
      <c r="J23" s="10" t="s">
        <v>1210</v>
      </c>
      <c r="K23" s="12" t="s">
        <v>541</v>
      </c>
      <c r="L23" s="12" t="s">
        <v>27</v>
      </c>
      <c r="M23" s="13">
        <v>46321</v>
      </c>
    </row>
    <row r="24" spans="1:13" x14ac:dyDescent="0.25">
      <c r="A24" s="14">
        <v>20</v>
      </c>
      <c r="B24" s="15" t="s">
        <v>53</v>
      </c>
      <c r="C24" s="14" t="s">
        <v>1205</v>
      </c>
      <c r="D24" s="14" t="s">
        <v>1211</v>
      </c>
      <c r="E24" s="14" t="s">
        <v>1212</v>
      </c>
      <c r="F24" s="14" t="s">
        <v>1213</v>
      </c>
      <c r="G24" s="14" t="s">
        <v>567</v>
      </c>
      <c r="H24" s="14" t="s">
        <v>1209</v>
      </c>
      <c r="I24" s="14" t="str">
        <f>HYPERLINK("https://he-eppat.vercel.app/Backlog-IDDS-TN-CMS-Prototype.html","https://he-eppat.vercel.app/Backlog-IDDS-TN-CMS-Prototype.html")</f>
        <v>https://he-eppat.vercel.app/Backlog-IDDS-TN-CMS-Prototype.html</v>
      </c>
      <c r="J24" s="14" t="s">
        <v>1214</v>
      </c>
      <c r="K24" s="12" t="s">
        <v>541</v>
      </c>
      <c r="L24" s="12" t="s">
        <v>1215</v>
      </c>
      <c r="M24" s="16">
        <v>46321</v>
      </c>
    </row>
    <row r="25" spans="1:13" x14ac:dyDescent="0.25">
      <c r="A25" s="10">
        <v>21</v>
      </c>
      <c r="B25" s="11" t="s">
        <v>1216</v>
      </c>
      <c r="C25" s="10" t="s">
        <v>1217</v>
      </c>
      <c r="D25" s="10" t="s">
        <v>1218</v>
      </c>
      <c r="E25" s="10" t="s">
        <v>1219</v>
      </c>
      <c r="F25" s="10" t="s">
        <v>1220</v>
      </c>
      <c r="G25" s="10" t="s">
        <v>567</v>
      </c>
      <c r="H25" s="10" t="s">
        <v>1221</v>
      </c>
      <c r="I25" s="10" t="str">
        <f>HYPERLINK("https://he-eppat.vercel.app/Backlog-IDDS-TN-CMS-Prototype.html","https://he-eppat.vercel.app/Backlog-IDDS-TN-CMS-Prototype.html")</f>
        <v>https://he-eppat.vercel.app/Backlog-IDDS-TN-CMS-Prototype.html</v>
      </c>
      <c r="J25" s="10" t="s">
        <v>1222</v>
      </c>
      <c r="K25" s="12" t="s">
        <v>541</v>
      </c>
      <c r="L25" s="12" t="s">
        <v>27</v>
      </c>
      <c r="M25" s="13">
        <v>46321</v>
      </c>
    </row>
    <row r="26" spans="1:13" x14ac:dyDescent="0.25">
      <c r="A26" s="14">
        <v>22</v>
      </c>
      <c r="B26" s="15" t="s">
        <v>1223</v>
      </c>
      <c r="C26" s="14" t="s">
        <v>1224</v>
      </c>
      <c r="D26" s="14" t="s">
        <v>1225</v>
      </c>
      <c r="E26" s="14" t="s">
        <v>1226</v>
      </c>
      <c r="F26" s="14" t="s">
        <v>1227</v>
      </c>
      <c r="G26" s="14" t="s">
        <v>538</v>
      </c>
      <c r="H26" s="14" t="s">
        <v>1228</v>
      </c>
      <c r="I26" s="14" t="str">
        <f>HYPERLINK("https://he-eppat.vercel.app/Backlog-IDDS-TN-CMS-Prototype.html","https://he-eppat.vercel.app/Backlog-IDDS-TN-CMS-Prototype.html")</f>
        <v>https://he-eppat.vercel.app/Backlog-IDDS-TN-CMS-Prototype.html</v>
      </c>
      <c r="J26" s="14" t="s">
        <v>1229</v>
      </c>
      <c r="K26" s="12" t="s">
        <v>541</v>
      </c>
      <c r="L26" s="12" t="s">
        <v>27</v>
      </c>
      <c r="M26" s="16">
        <v>46321</v>
      </c>
    </row>
    <row r="27" spans="1:13" x14ac:dyDescent="0.25">
      <c r="A27" s="10">
        <v>23</v>
      </c>
      <c r="B27" s="11" t="s">
        <v>1230</v>
      </c>
      <c r="C27" s="10" t="s">
        <v>1231</v>
      </c>
      <c r="D27" s="10" t="s">
        <v>1232</v>
      </c>
      <c r="E27" s="10" t="s">
        <v>1233</v>
      </c>
      <c r="F27" s="10" t="s">
        <v>1234</v>
      </c>
      <c r="G27" s="10" t="s">
        <v>567</v>
      </c>
      <c r="H27" s="10" t="s">
        <v>1235</v>
      </c>
      <c r="I27" s="10" t="str">
        <f>HYPERLINK("https://he-eppat.vercel.app/Backlog-IDDS-TN-CMS-Prototype.html","https://he-eppat.vercel.app/Backlog-IDDS-TN-CMS-Prototype.html")</f>
        <v>https://he-eppat.vercel.app/Backlog-IDDS-TN-CMS-Prototype.html</v>
      </c>
      <c r="J27" s="10" t="s">
        <v>1236</v>
      </c>
      <c r="K27" s="12" t="s">
        <v>541</v>
      </c>
      <c r="L27" s="12" t="s">
        <v>1237</v>
      </c>
      <c r="M27" s="13">
        <v>46321</v>
      </c>
    </row>
    <row r="28" spans="1:13" x14ac:dyDescent="0.25">
      <c r="A28" s="14">
        <v>24</v>
      </c>
      <c r="B28" s="15" t="s">
        <v>1238</v>
      </c>
      <c r="C28" s="14" t="s">
        <v>1239</v>
      </c>
      <c r="D28" s="14" t="s">
        <v>1240</v>
      </c>
      <c r="E28" s="14" t="s">
        <v>1241</v>
      </c>
      <c r="F28" s="14" t="s">
        <v>1242</v>
      </c>
      <c r="G28" s="14" t="s">
        <v>641</v>
      </c>
      <c r="H28" s="14" t="s">
        <v>1243</v>
      </c>
      <c r="I28" s="14" t="str">
        <f>HYPERLINK("https://he-eppat.vercel.app/Backlog-IDDS-TN-CMS-Prototype.html","https://he-eppat.vercel.app/Backlog-IDDS-TN-CMS-Prototype.html")</f>
        <v>https://he-eppat.vercel.app/Backlog-IDDS-TN-CMS-Prototype.html</v>
      </c>
      <c r="J28" s="14" t="s">
        <v>1244</v>
      </c>
      <c r="K28" s="12" t="s">
        <v>541</v>
      </c>
      <c r="L28" s="12" t="s">
        <v>27</v>
      </c>
      <c r="M28" s="16">
        <v>46321</v>
      </c>
    </row>
    <row r="29" spans="1:13" x14ac:dyDescent="0.25">
      <c r="A29" s="10">
        <v>25</v>
      </c>
      <c r="B29" s="11" t="s">
        <v>1245</v>
      </c>
      <c r="C29" s="10" t="s">
        <v>1239</v>
      </c>
      <c r="D29" s="10" t="s">
        <v>1246</v>
      </c>
      <c r="E29" s="10" t="s">
        <v>1247</v>
      </c>
      <c r="F29" s="10" t="s">
        <v>1248</v>
      </c>
      <c r="G29" s="10" t="s">
        <v>567</v>
      </c>
      <c r="H29" s="10" t="s">
        <v>1243</v>
      </c>
      <c r="I29" s="10" t="str">
        <f>HYPERLINK("https://he-eppat.vercel.app/Backlog-IDDS-TN-CMS-Prototype.html","https://he-eppat.vercel.app/Backlog-IDDS-TN-CMS-Prototype.html")</f>
        <v>https://he-eppat.vercel.app/Backlog-IDDS-TN-CMS-Prototype.html</v>
      </c>
      <c r="J29" s="10" t="s">
        <v>1249</v>
      </c>
      <c r="K29" s="12" t="s">
        <v>541</v>
      </c>
      <c r="L29" s="12" t="s">
        <v>1250</v>
      </c>
      <c r="M29" s="13">
        <v>46321</v>
      </c>
    </row>
    <row r="30" spans="1:13" x14ac:dyDescent="0.25">
      <c r="A30" s="14">
        <v>26</v>
      </c>
      <c r="B30" s="15" t="s">
        <v>1251</v>
      </c>
      <c r="C30" s="14" t="s">
        <v>1239</v>
      </c>
      <c r="D30" s="14" t="s">
        <v>1252</v>
      </c>
      <c r="E30" s="14" t="s">
        <v>1253</v>
      </c>
      <c r="F30" s="14" t="s">
        <v>1254</v>
      </c>
      <c r="G30" s="14" t="s">
        <v>641</v>
      </c>
      <c r="H30" s="14" t="s">
        <v>1243</v>
      </c>
      <c r="I30" s="14" t="str">
        <f>HYPERLINK("https://he-eppat.vercel.app/Backlog-IDDS-TN-CMS-Prototype.html","https://he-eppat.vercel.app/Backlog-IDDS-TN-CMS-Prototype.html")</f>
        <v>https://he-eppat.vercel.app/Backlog-IDDS-TN-CMS-Prototype.html</v>
      </c>
      <c r="J30" s="14" t="s">
        <v>1255</v>
      </c>
      <c r="K30" s="12" t="s">
        <v>541</v>
      </c>
      <c r="L30" s="12" t="s">
        <v>27</v>
      </c>
      <c r="M30" s="16">
        <v>46321</v>
      </c>
    </row>
    <row r="31" spans="1:13" x14ac:dyDescent="0.25">
      <c r="A31" s="10">
        <v>27</v>
      </c>
      <c r="B31" s="11" t="s">
        <v>184</v>
      </c>
      <c r="C31" s="10" t="s">
        <v>1256</v>
      </c>
      <c r="D31" s="10" t="s">
        <v>1257</v>
      </c>
      <c r="E31" s="10" t="s">
        <v>1258</v>
      </c>
      <c r="F31" s="10" t="s">
        <v>1259</v>
      </c>
      <c r="G31" s="10" t="s">
        <v>567</v>
      </c>
      <c r="H31" s="10" t="s">
        <v>1260</v>
      </c>
      <c r="I31" s="10" t="str">
        <f>HYPERLINK("https://he-eppat.vercel.app/Backlog-IDDS-TN-EPPAT-Prototype.html","https://he-eppat.vercel.app/Backlog-IDDS-TN-EPPAT-Prototype.html")</f>
        <v>https://he-eppat.vercel.app/Backlog-IDDS-TN-EPPAT-Prototype.html</v>
      </c>
      <c r="J31" s="10" t="s">
        <v>1261</v>
      </c>
      <c r="K31" s="12" t="s">
        <v>541</v>
      </c>
      <c r="L31" s="12" t="s">
        <v>1262</v>
      </c>
      <c r="M31" s="13">
        <v>46321</v>
      </c>
    </row>
    <row r="32" spans="1:13" x14ac:dyDescent="0.25">
      <c r="A32" s="14">
        <v>28</v>
      </c>
      <c r="B32" s="15" t="s">
        <v>110</v>
      </c>
      <c r="C32" s="14" t="s">
        <v>1256</v>
      </c>
      <c r="D32" s="14" t="s">
        <v>1263</v>
      </c>
      <c r="E32" s="14" t="s">
        <v>1264</v>
      </c>
      <c r="F32" s="14" t="s">
        <v>1265</v>
      </c>
      <c r="G32" s="14" t="s">
        <v>641</v>
      </c>
      <c r="H32" s="14" t="s">
        <v>1260</v>
      </c>
      <c r="I32" s="14" t="str">
        <f>HYPERLINK("https://he-eppat.vercel.app/Backlog-IDDS-TN-EPPAT-Prototype.html","https://he-eppat.vercel.app/Backlog-IDDS-TN-EPPAT-Prototype.html")</f>
        <v>https://he-eppat.vercel.app/Backlog-IDDS-TN-EPPAT-Prototype.html</v>
      </c>
      <c r="J32" s="14" t="s">
        <v>1266</v>
      </c>
      <c r="K32" s="12" t="s">
        <v>541</v>
      </c>
      <c r="L32" s="12" t="s">
        <v>27</v>
      </c>
      <c r="M32" s="16">
        <v>46321</v>
      </c>
    </row>
    <row r="33" spans="1:13" x14ac:dyDescent="0.25">
      <c r="A33" s="10">
        <v>29</v>
      </c>
      <c r="B33" s="11" t="s">
        <v>297</v>
      </c>
      <c r="C33" s="10" t="s">
        <v>1267</v>
      </c>
      <c r="D33" s="10" t="s">
        <v>1268</v>
      </c>
      <c r="E33" s="10" t="s">
        <v>1269</v>
      </c>
      <c r="F33" s="10" t="s">
        <v>1270</v>
      </c>
      <c r="G33" s="10" t="s">
        <v>538</v>
      </c>
      <c r="H33" s="10" t="s">
        <v>1271</v>
      </c>
      <c r="I33" s="10" t="str">
        <f>HYPERLINK("https://he-eppat.vercel.app/Backlog-IDDS-TN-EPPAT-Prototype.html","https://he-eppat.vercel.app/Backlog-IDDS-TN-EPPAT-Prototype.html")</f>
        <v>https://he-eppat.vercel.app/Backlog-IDDS-TN-EPPAT-Prototype.html</v>
      </c>
      <c r="J33" s="10" t="s">
        <v>1272</v>
      </c>
      <c r="K33" s="12" t="s">
        <v>541</v>
      </c>
      <c r="L33" s="12" t="s">
        <v>27</v>
      </c>
      <c r="M33" s="13">
        <v>46321</v>
      </c>
    </row>
    <row r="34" spans="1:13" x14ac:dyDescent="0.25">
      <c r="A34" s="14">
        <v>30</v>
      </c>
      <c r="B34" s="15" t="s">
        <v>68</v>
      </c>
      <c r="C34" s="14" t="s">
        <v>1267</v>
      </c>
      <c r="D34" s="14" t="s">
        <v>1273</v>
      </c>
      <c r="E34" s="14" t="s">
        <v>1274</v>
      </c>
      <c r="F34" s="14" t="s">
        <v>1275</v>
      </c>
      <c r="G34" s="14" t="s">
        <v>567</v>
      </c>
      <c r="H34" s="14" t="s">
        <v>1271</v>
      </c>
      <c r="I34" s="14" t="str">
        <f>HYPERLINK("https://he-eppat.vercel.app/Backlog-IDDS-TN-EPPAT-Prototype.html","https://he-eppat.vercel.app/Backlog-IDDS-TN-EPPAT-Prototype.html")</f>
        <v>https://he-eppat.vercel.app/Backlog-IDDS-TN-EPPAT-Prototype.html</v>
      </c>
      <c r="J34" s="14" t="s">
        <v>1276</v>
      </c>
      <c r="K34" s="12" t="s">
        <v>541</v>
      </c>
      <c r="L34" s="12" t="s">
        <v>27</v>
      </c>
      <c r="M34" s="16">
        <v>46321</v>
      </c>
    </row>
    <row r="35" spans="1:13" x14ac:dyDescent="0.25">
      <c r="A35" s="10">
        <v>31</v>
      </c>
      <c r="B35" s="11" t="s">
        <v>1277</v>
      </c>
      <c r="C35" s="10" t="s">
        <v>1278</v>
      </c>
      <c r="D35" s="10" t="s">
        <v>1279</v>
      </c>
      <c r="E35" s="10" t="s">
        <v>1280</v>
      </c>
      <c r="F35" s="10" t="s">
        <v>1281</v>
      </c>
      <c r="G35" s="10" t="s">
        <v>538</v>
      </c>
      <c r="H35" s="10" t="s">
        <v>1282</v>
      </c>
      <c r="I35" s="10" t="str">
        <f>HYPERLINK("https://he-eppat.vercel.app/Backlog-IDDS-TN-EPPAT-Prototype.html","https://he-eppat.vercel.app/Backlog-IDDS-TN-EPPAT-Prototype.html")</f>
        <v>https://he-eppat.vercel.app/Backlog-IDDS-TN-EPPAT-Prototype.html</v>
      </c>
      <c r="J35" s="10" t="s">
        <v>1283</v>
      </c>
      <c r="K35" s="12" t="s">
        <v>541</v>
      </c>
      <c r="L35" s="12" t="s">
        <v>27</v>
      </c>
      <c r="M35" s="13">
        <v>46321</v>
      </c>
    </row>
    <row r="36" spans="1:13" x14ac:dyDescent="0.25">
      <c r="A36" s="14">
        <v>32</v>
      </c>
      <c r="B36" s="15" t="s">
        <v>1284</v>
      </c>
      <c r="C36" s="14" t="s">
        <v>1285</v>
      </c>
      <c r="D36" s="14" t="s">
        <v>1286</v>
      </c>
      <c r="E36" s="14" t="s">
        <v>1287</v>
      </c>
      <c r="F36" s="14" t="s">
        <v>1288</v>
      </c>
      <c r="G36" s="14" t="s">
        <v>567</v>
      </c>
      <c r="H36" s="14" t="s">
        <v>1289</v>
      </c>
      <c r="I36" s="14" t="str">
        <f>HYPERLINK("https://he-eppat.vercel.app/Backlog-IDDS-TN-EPPAT-Prototype.html","https://he-eppat.vercel.app/Backlog-IDDS-TN-EPPAT-Prototype.html")</f>
        <v>https://he-eppat.vercel.app/Backlog-IDDS-TN-EPPAT-Prototype.html</v>
      </c>
      <c r="J36" s="14" t="s">
        <v>1290</v>
      </c>
      <c r="K36" s="12" t="s">
        <v>541</v>
      </c>
      <c r="L36" s="12" t="s">
        <v>1291</v>
      </c>
      <c r="M36" s="16">
        <v>46321</v>
      </c>
    </row>
    <row r="37" spans="1:13" x14ac:dyDescent="0.25">
      <c r="A37" s="10">
        <v>33</v>
      </c>
      <c r="B37" s="11" t="s">
        <v>1292</v>
      </c>
      <c r="C37" s="10" t="s">
        <v>1293</v>
      </c>
      <c r="D37" s="10" t="s">
        <v>1294</v>
      </c>
      <c r="E37" s="10" t="s">
        <v>1295</v>
      </c>
      <c r="F37" s="10" t="s">
        <v>1296</v>
      </c>
      <c r="G37" s="10" t="s">
        <v>567</v>
      </c>
      <c r="H37" s="10" t="s">
        <v>1297</v>
      </c>
      <c r="I37" s="10" t="str">
        <f>HYPERLINK("https://he-eppat.vercel.app/Backlog-IDDS-TN-EPPAT-Prototype.html","https://he-eppat.vercel.app/Backlog-IDDS-TN-EPPAT-Prototype.html")</f>
        <v>https://he-eppat.vercel.app/Backlog-IDDS-TN-EPPAT-Prototype.html</v>
      </c>
      <c r="J37" s="10" t="s">
        <v>1298</v>
      </c>
      <c r="K37" s="12" t="s">
        <v>541</v>
      </c>
      <c r="L37" s="12" t="s">
        <v>27</v>
      </c>
      <c r="M37" s="13">
        <v>46321</v>
      </c>
    </row>
    <row r="38" spans="1:13" x14ac:dyDescent="0.25">
      <c r="A38" s="14">
        <v>34</v>
      </c>
      <c r="B38" s="15" t="s">
        <v>1299</v>
      </c>
      <c r="C38" s="14" t="s">
        <v>1300</v>
      </c>
      <c r="D38" s="14" t="s">
        <v>1301</v>
      </c>
      <c r="E38" s="14" t="s">
        <v>1302</v>
      </c>
      <c r="F38" s="14" t="s">
        <v>1303</v>
      </c>
      <c r="G38" s="14" t="s">
        <v>538</v>
      </c>
      <c r="H38" s="14" t="s">
        <v>1304</v>
      </c>
      <c r="I38" s="14" t="str">
        <f>HYPERLINK("https://he-eppat.vercel.app/Backlog-IDDS-TN-EPPAT-Prototype.html","https://he-eppat.vercel.app/Backlog-IDDS-TN-EPPAT-Prototype.html")</f>
        <v>https://he-eppat.vercel.app/Backlog-IDDS-TN-EPPAT-Prototype.html</v>
      </c>
      <c r="J38" s="14" t="s">
        <v>1305</v>
      </c>
      <c r="K38" s="12" t="s">
        <v>541</v>
      </c>
      <c r="L38" s="12" t="s">
        <v>27</v>
      </c>
      <c r="M38" s="16">
        <v>46321</v>
      </c>
    </row>
    <row r="39" spans="1:13" x14ac:dyDescent="0.25">
      <c r="A39" s="10">
        <v>35</v>
      </c>
      <c r="B39" s="11" t="s">
        <v>1306</v>
      </c>
      <c r="C39" s="10" t="s">
        <v>1307</v>
      </c>
      <c r="D39" s="10" t="s">
        <v>1308</v>
      </c>
      <c r="E39" s="10" t="s">
        <v>1309</v>
      </c>
      <c r="F39" s="10" t="s">
        <v>1310</v>
      </c>
      <c r="G39" s="10" t="s">
        <v>567</v>
      </c>
      <c r="H39" s="10" t="s">
        <v>1311</v>
      </c>
      <c r="I39" s="10" t="str">
        <f>HYPERLINK("https://he-eppat.vercel.app/Backlog-IDDS-TN-EPPAT-Prototype.html","https://he-eppat.vercel.app/Backlog-IDDS-TN-EPPAT-Prototype.html")</f>
        <v>https://he-eppat.vercel.app/Backlog-IDDS-TN-EPPAT-Prototype.html</v>
      </c>
      <c r="J39" s="10" t="s">
        <v>1312</v>
      </c>
      <c r="K39" s="12" t="s">
        <v>541</v>
      </c>
      <c r="L39" s="12" t="s">
        <v>1313</v>
      </c>
      <c r="M39" s="13">
        <v>46321</v>
      </c>
    </row>
    <row r="40" spans="1:13" x14ac:dyDescent="0.25">
      <c r="A40" s="14">
        <v>36</v>
      </c>
      <c r="B40" s="15" t="s">
        <v>1314</v>
      </c>
      <c r="C40" s="14" t="s">
        <v>1315</v>
      </c>
      <c r="D40" s="14" t="s">
        <v>1316</v>
      </c>
      <c r="E40" s="14" t="s">
        <v>1317</v>
      </c>
      <c r="F40" s="14" t="s">
        <v>1318</v>
      </c>
      <c r="G40" s="14" t="s">
        <v>567</v>
      </c>
      <c r="H40" s="14" t="s">
        <v>1319</v>
      </c>
      <c r="I40" s="14" t="str">
        <f>HYPERLINK("https://he-eppat.vercel.app/Backlog-IDDS-TN-EPPAT-Prototype.html","https://he-eppat.vercel.app/Backlog-IDDS-TN-EPPAT-Prototype.html")</f>
        <v>https://he-eppat.vercel.app/Backlog-IDDS-TN-EPPAT-Prototype.html</v>
      </c>
      <c r="J40" s="14" t="s">
        <v>1320</v>
      </c>
      <c r="K40" s="12" t="s">
        <v>541</v>
      </c>
      <c r="L40" s="12" t="s">
        <v>1250</v>
      </c>
      <c r="M40" s="16">
        <v>46321</v>
      </c>
    </row>
    <row r="41" spans="1:13" x14ac:dyDescent="0.25">
      <c r="A41" s="10">
        <v>37</v>
      </c>
      <c r="B41" s="11" t="s">
        <v>403</v>
      </c>
      <c r="C41" s="10" t="s">
        <v>1315</v>
      </c>
      <c r="D41" s="10" t="s">
        <v>1321</v>
      </c>
      <c r="E41" s="10" t="s">
        <v>1322</v>
      </c>
      <c r="F41" s="10" t="s">
        <v>1323</v>
      </c>
      <c r="G41" s="10" t="s">
        <v>641</v>
      </c>
      <c r="H41" s="10" t="s">
        <v>1319</v>
      </c>
      <c r="I41" s="10" t="str">
        <f>HYPERLINK("https://he-eppat.vercel.app/Backlog-IDDS-TN-EPPAT-Prototype.html","https://he-eppat.vercel.app/Backlog-IDDS-TN-EPPAT-Prototype.html")</f>
        <v>https://he-eppat.vercel.app/Backlog-IDDS-TN-EPPAT-Prototype.html</v>
      </c>
      <c r="J41" s="10" t="s">
        <v>1324</v>
      </c>
      <c r="K41" s="12" t="s">
        <v>541</v>
      </c>
      <c r="L41" s="12" t="s">
        <v>1325</v>
      </c>
      <c r="M41" s="13">
        <v>46321</v>
      </c>
    </row>
    <row r="42" spans="1:13" x14ac:dyDescent="0.25">
      <c r="A42" s="14">
        <v>38</v>
      </c>
      <c r="B42" s="15" t="s">
        <v>1326</v>
      </c>
      <c r="C42" s="14" t="s">
        <v>1097</v>
      </c>
      <c r="D42" s="14" t="s">
        <v>1327</v>
      </c>
      <c r="E42" s="14" t="s">
        <v>1328</v>
      </c>
      <c r="F42" s="14" t="s">
        <v>1329</v>
      </c>
      <c r="G42" s="14" t="s">
        <v>567</v>
      </c>
      <c r="H42" s="14" t="s">
        <v>1101</v>
      </c>
      <c r="I42" s="14" t="str">
        <f>HYPERLINK("https://he-eppat.vercel.app/Backlog-IDDS-TN-MASUK-Prototype.html","https://he-eppat.vercel.app/Backlog-IDDS-TN-MASUK-Prototype.html")</f>
        <v>https://he-eppat.vercel.app/Backlog-IDDS-TN-MASUK-Prototype.html</v>
      </c>
      <c r="J42" s="14" t="s">
        <v>1330</v>
      </c>
      <c r="K42" s="12" t="s">
        <v>541</v>
      </c>
      <c r="L42" s="12" t="s">
        <v>1250</v>
      </c>
      <c r="M42" s="16">
        <v>46321</v>
      </c>
    </row>
    <row r="43" spans="1:13" x14ac:dyDescent="0.25">
      <c r="A43" s="10">
        <v>39</v>
      </c>
      <c r="B43" s="11" t="s">
        <v>1331</v>
      </c>
      <c r="C43" s="10" t="s">
        <v>1332</v>
      </c>
      <c r="D43" s="10" t="s">
        <v>1333</v>
      </c>
      <c r="E43" s="10" t="s">
        <v>1334</v>
      </c>
      <c r="F43" s="10" t="s">
        <v>1335</v>
      </c>
      <c r="G43" s="10" t="s">
        <v>567</v>
      </c>
      <c r="H43" s="10" t="s">
        <v>1336</v>
      </c>
      <c r="I43" s="10" t="str">
        <f>HYPERLINK("https://he-eppat.vercel.app/Backlog-IDDS-TN-SYSTEM-Prototype.html","https://he-eppat.vercel.app/Backlog-IDDS-TN-SYSTEM-Prototype.html")</f>
        <v>https://he-eppat.vercel.app/Backlog-IDDS-TN-SYSTEM-Prototype.html</v>
      </c>
      <c r="J43" s="10" t="s">
        <v>1337</v>
      </c>
      <c r="K43" s="12" t="s">
        <v>541</v>
      </c>
      <c r="L43" s="12" t="s">
        <v>1338</v>
      </c>
      <c r="M43" s="13">
        <v>46321</v>
      </c>
    </row>
    <row r="44" spans="1:13" x14ac:dyDescent="0.25">
      <c r="A44" s="14">
        <v>40</v>
      </c>
      <c r="B44" s="15" t="s">
        <v>1339</v>
      </c>
      <c r="C44" s="14" t="s">
        <v>1340</v>
      </c>
      <c r="D44" s="14" t="s">
        <v>1341</v>
      </c>
      <c r="E44" s="14" t="s">
        <v>1342</v>
      </c>
      <c r="F44" s="14" t="s">
        <v>1343</v>
      </c>
      <c r="G44" s="14" t="s">
        <v>567</v>
      </c>
      <c r="H44" s="14" t="s">
        <v>1344</v>
      </c>
      <c r="I44" s="14" t="str">
        <f>HYPERLINK("https://he-eppat.vercel.app/Backlog-IDDS-TN-SYSTEM-Prototype.html","https://he-eppat.vercel.app/Backlog-IDDS-TN-SYSTEM-Prototype.html")</f>
        <v>https://he-eppat.vercel.app/Backlog-IDDS-TN-SYSTEM-Prototype.html</v>
      </c>
      <c r="J44" s="14" t="s">
        <v>1345</v>
      </c>
      <c r="K44" s="12" t="s">
        <v>541</v>
      </c>
      <c r="L44" s="12" t="s">
        <v>1346</v>
      </c>
      <c r="M44" s="16">
        <v>46321</v>
      </c>
    </row>
    <row r="45" spans="7:11" x14ac:dyDescent="0.25"/>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1347</v>
      </c>
      <c r="B1" s="1"/>
      <c r="C1" s="1"/>
      <c r="D1" s="1"/>
      <c r="E1" s="1"/>
      <c r="F1" s="1"/>
      <c r="G1" s="1"/>
      <c r="H1" s="1"/>
      <c r="I1" s="1"/>
      <c r="J1" s="1"/>
      <c r="K1" s="1"/>
      <c r="L1" s="1"/>
      <c r="M1" s="1"/>
    </row>
    <row r="2" spans="1:13" x14ac:dyDescent="0.25">
      <c r="A2" s="2" t="s">
        <v>1348</v>
      </c>
      <c r="B2" s="2"/>
      <c r="C2" s="2"/>
      <c r="D2" s="2"/>
      <c r="E2" s="2"/>
      <c r="F2" s="2"/>
      <c r="G2" s="2"/>
      <c r="H2" s="2"/>
      <c r="I2" s="2"/>
      <c r="J2" s="2"/>
      <c r="K2" s="2"/>
      <c r="L2" s="2"/>
      <c r="M2" s="2"/>
    </row>
    <row r="3" ht="18" customHeight="1" spans="1:6" x14ac:dyDescent="0.25">
      <c r="A3" s="9" t="str">
        <f>HYPERLINK("https://he-eppat.vercel.app/index.html#platform","Situs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1349</v>
      </c>
      <c r="C5" s="10" t="s">
        <v>1350</v>
      </c>
      <c r="D5" s="10" t="s">
        <v>1351</v>
      </c>
      <c r="E5" s="10" t="s">
        <v>1352</v>
      </c>
      <c r="F5" s="10" t="s">
        <v>1353</v>
      </c>
      <c r="G5" s="10" t="s">
        <v>567</v>
      </c>
      <c r="H5" s="10" t="s">
        <v>1354</v>
      </c>
      <c r="I5" s="10" t="str">
        <f>HYPERLINK("https://he-eppat.vercel.app/Backlog-IDDS-PL-MASUK-Prototype.html","https://he-eppat.vercel.app/Backlog-IDDS-PL-MASUK-Prototype.html")</f>
        <v>https://he-eppat.vercel.app/Backlog-IDDS-PL-MASUK-Prototype.html</v>
      </c>
      <c r="J5" s="10" t="s">
        <v>1355</v>
      </c>
      <c r="K5" s="12" t="s">
        <v>541</v>
      </c>
      <c r="L5" s="12" t="s">
        <v>1356</v>
      </c>
      <c r="M5" s="13">
        <v>46321</v>
      </c>
    </row>
    <row r="6" spans="1:13" x14ac:dyDescent="0.25">
      <c r="A6" s="14">
        <v>2</v>
      </c>
      <c r="B6" s="15" t="s">
        <v>1357</v>
      </c>
      <c r="C6" s="14" t="s">
        <v>1350</v>
      </c>
      <c r="D6" s="14" t="s">
        <v>1358</v>
      </c>
      <c r="E6" s="14" t="s">
        <v>1359</v>
      </c>
      <c r="F6" s="14" t="s">
        <v>1360</v>
      </c>
      <c r="G6" s="14" t="s">
        <v>567</v>
      </c>
      <c r="H6" s="14" t="s">
        <v>1354</v>
      </c>
      <c r="I6" s="14" t="str">
        <f>HYPERLINK("https://he-eppat.vercel.app/Backlog-IDDS-PL-MASUK-Prototype.html","https://he-eppat.vercel.app/Backlog-IDDS-PL-MASUK-Prototype.html")</f>
        <v>https://he-eppat.vercel.app/Backlog-IDDS-PL-MASUK-Prototype.html</v>
      </c>
      <c r="J6" s="14" t="s">
        <v>1361</v>
      </c>
      <c r="K6" s="12" t="s">
        <v>541</v>
      </c>
      <c r="L6" s="12" t="s">
        <v>1356</v>
      </c>
      <c r="M6" s="16">
        <v>46321</v>
      </c>
    </row>
    <row r="7" spans="1:13" x14ac:dyDescent="0.25">
      <c r="A7" s="10">
        <v>3</v>
      </c>
      <c r="B7" s="11" t="s">
        <v>1362</v>
      </c>
      <c r="C7" s="10" t="s">
        <v>1350</v>
      </c>
      <c r="D7" s="10" t="s">
        <v>1363</v>
      </c>
      <c r="E7" s="10" t="s">
        <v>1364</v>
      </c>
      <c r="F7" s="10" t="s">
        <v>1365</v>
      </c>
      <c r="G7" s="10" t="s">
        <v>567</v>
      </c>
      <c r="H7" s="10" t="s">
        <v>1354</v>
      </c>
      <c r="I7" s="10" t="str">
        <f>HYPERLINK("https://he-eppat.vercel.app/Backlog-IDDS-PL-MASUK-Prototype.html","https://he-eppat.vercel.app/Backlog-IDDS-PL-MASUK-Prototype.html")</f>
        <v>https://he-eppat.vercel.app/Backlog-IDDS-PL-MASUK-Prototype.html</v>
      </c>
      <c r="J7" s="10" t="s">
        <v>1366</v>
      </c>
      <c r="K7" s="12" t="s">
        <v>541</v>
      </c>
      <c r="L7" s="12" t="s">
        <v>1356</v>
      </c>
      <c r="M7" s="13">
        <v>46321</v>
      </c>
    </row>
    <row r="8" spans="1:13" x14ac:dyDescent="0.25">
      <c r="A8" s="14">
        <v>4</v>
      </c>
      <c r="B8" s="15" t="s">
        <v>1367</v>
      </c>
      <c r="C8" s="14" t="s">
        <v>1350</v>
      </c>
      <c r="D8" s="14" t="s">
        <v>1368</v>
      </c>
      <c r="E8" s="14" t="s">
        <v>1369</v>
      </c>
      <c r="F8" s="14" t="s">
        <v>1370</v>
      </c>
      <c r="G8" s="14" t="s">
        <v>567</v>
      </c>
      <c r="H8" s="14" t="s">
        <v>1354</v>
      </c>
      <c r="I8" s="14" t="str">
        <f>HYPERLINK("https://he-eppat.vercel.app/Backlog-IDDS-PL-MASUK-Prototype.html","https://he-eppat.vercel.app/Backlog-IDDS-PL-MASUK-Prototype.html")</f>
        <v>https://he-eppat.vercel.app/Backlog-IDDS-PL-MASUK-Prototype.html</v>
      </c>
      <c r="J8" s="14" t="s">
        <v>1371</v>
      </c>
      <c r="K8" s="12" t="s">
        <v>541</v>
      </c>
      <c r="L8" s="12" t="s">
        <v>1356</v>
      </c>
      <c r="M8" s="16">
        <v>46321</v>
      </c>
    </row>
    <row r="9" spans="1:13" x14ac:dyDescent="0.25">
      <c r="A9" s="10">
        <v>5</v>
      </c>
      <c r="B9" s="11" t="s">
        <v>1372</v>
      </c>
      <c r="C9" s="10" t="s">
        <v>1350</v>
      </c>
      <c r="D9" s="10" t="s">
        <v>1373</v>
      </c>
      <c r="E9" s="10" t="s">
        <v>1374</v>
      </c>
      <c r="F9" s="10" t="s">
        <v>1375</v>
      </c>
      <c r="G9" s="10" t="s">
        <v>567</v>
      </c>
      <c r="H9" s="10" t="s">
        <v>1354</v>
      </c>
      <c r="I9" s="10" t="str">
        <f>HYPERLINK("https://he-eppat.vercel.app/Backlog-IDDS-PL-MASUK-Prototype.html","https://he-eppat.vercel.app/Backlog-IDDS-PL-MASUK-Prototype.html")</f>
        <v>https://he-eppat.vercel.app/Backlog-IDDS-PL-MASUK-Prototype.html</v>
      </c>
      <c r="J9" s="10" t="s">
        <v>1376</v>
      </c>
      <c r="K9" s="12" t="s">
        <v>541</v>
      </c>
      <c r="L9" s="12" t="s">
        <v>1356</v>
      </c>
      <c r="M9" s="13">
        <v>46321</v>
      </c>
    </row>
    <row r="10" spans="1:13" x14ac:dyDescent="0.25">
      <c r="A10" s="14">
        <v>6</v>
      </c>
      <c r="B10" s="15" t="s">
        <v>1377</v>
      </c>
      <c r="C10" s="14" t="s">
        <v>1350</v>
      </c>
      <c r="D10" s="14" t="s">
        <v>1378</v>
      </c>
      <c r="E10" s="14" t="s">
        <v>1379</v>
      </c>
      <c r="F10" s="14" t="s">
        <v>1380</v>
      </c>
      <c r="G10" s="14" t="s">
        <v>567</v>
      </c>
      <c r="H10" s="14" t="s">
        <v>1354</v>
      </c>
      <c r="I10" s="14" t="str">
        <f>HYPERLINK("https://he-eppat.vercel.app/Backlog-IDDS-PL-MASUK-Prototype.html","https://he-eppat.vercel.app/Backlog-IDDS-PL-MASUK-Prototype.html")</f>
        <v>https://he-eppat.vercel.app/Backlog-IDDS-PL-MASUK-Prototype.html</v>
      </c>
      <c r="J10" s="14" t="s">
        <v>1381</v>
      </c>
      <c r="K10" s="12" t="s">
        <v>541</v>
      </c>
      <c r="L10" s="12" t="s">
        <v>1356</v>
      </c>
      <c r="M10" s="16">
        <v>46321</v>
      </c>
    </row>
    <row r="11" spans="1:13" x14ac:dyDescent="0.25">
      <c r="A11" s="10">
        <v>7</v>
      </c>
      <c r="B11" s="11" t="s">
        <v>1382</v>
      </c>
      <c r="C11" s="10" t="s">
        <v>1350</v>
      </c>
      <c r="D11" s="10" t="s">
        <v>1383</v>
      </c>
      <c r="E11" s="10" t="s">
        <v>1384</v>
      </c>
      <c r="F11" s="10" t="s">
        <v>1385</v>
      </c>
      <c r="G11" s="10" t="s">
        <v>567</v>
      </c>
      <c r="H11" s="10" t="s">
        <v>1354</v>
      </c>
      <c r="I11" s="10" t="str">
        <f>HYPERLINK("https://he-eppat.vercel.app/Backlog-IDDS-PL-MASUK-Prototype.html","https://he-eppat.vercel.app/Backlog-IDDS-PL-MASUK-Prototype.html")</f>
        <v>https://he-eppat.vercel.app/Backlog-IDDS-PL-MASUK-Prototype.html</v>
      </c>
      <c r="J11" s="10" t="s">
        <v>1386</v>
      </c>
      <c r="K11" s="12" t="s">
        <v>541</v>
      </c>
      <c r="L11" s="12" t="s">
        <v>1356</v>
      </c>
      <c r="M11" s="13">
        <v>46321</v>
      </c>
    </row>
    <row r="12" spans="1:13" x14ac:dyDescent="0.25">
      <c r="A12" s="14">
        <v>8</v>
      </c>
      <c r="B12" s="15" t="s">
        <v>1387</v>
      </c>
      <c r="C12" s="14" t="s">
        <v>1350</v>
      </c>
      <c r="D12" s="14" t="s">
        <v>1388</v>
      </c>
      <c r="E12" s="14" t="s">
        <v>1389</v>
      </c>
      <c r="F12" s="14" t="s">
        <v>1390</v>
      </c>
      <c r="G12" s="14" t="s">
        <v>567</v>
      </c>
      <c r="H12" s="14" t="s">
        <v>1354</v>
      </c>
      <c r="I12" s="14" t="str">
        <f>HYPERLINK("https://he-eppat.vercel.app/Backlog-IDDS-PL-MASUK-Prototype.html","https://he-eppat.vercel.app/Backlog-IDDS-PL-MASUK-Prototype.html")</f>
        <v>https://he-eppat.vercel.app/Backlog-IDDS-PL-MASUK-Prototype.html</v>
      </c>
      <c r="J12" s="14" t="s">
        <v>1391</v>
      </c>
      <c r="K12" s="12" t="s">
        <v>541</v>
      </c>
      <c r="L12" s="12" t="s">
        <v>1356</v>
      </c>
      <c r="M12" s="16">
        <v>46321</v>
      </c>
    </row>
    <row r="13" spans="1:13" x14ac:dyDescent="0.25">
      <c r="A13" s="10">
        <v>9</v>
      </c>
      <c r="B13" s="11" t="s">
        <v>1392</v>
      </c>
      <c r="C13" s="10" t="s">
        <v>1350</v>
      </c>
      <c r="D13" s="10" t="s">
        <v>1393</v>
      </c>
      <c r="E13" s="10" t="s">
        <v>1394</v>
      </c>
      <c r="F13" s="10" t="s">
        <v>1395</v>
      </c>
      <c r="G13" s="10" t="s">
        <v>567</v>
      </c>
      <c r="H13" s="10" t="s">
        <v>1354</v>
      </c>
      <c r="I13" s="10" t="str">
        <f>HYPERLINK("https://he-eppat.vercel.app/Backlog-IDDS-PL-MASUK-Prototype.html","https://he-eppat.vercel.app/Backlog-IDDS-PL-MASUK-Prototype.html")</f>
        <v>https://he-eppat.vercel.app/Backlog-IDDS-PL-MASUK-Prototype.html</v>
      </c>
      <c r="J13" s="10" t="s">
        <v>1396</v>
      </c>
      <c r="K13" s="12" t="s">
        <v>541</v>
      </c>
      <c r="L13" s="12" t="s">
        <v>1356</v>
      </c>
      <c r="M13" s="13">
        <v>46321</v>
      </c>
    </row>
    <row r="14" spans="1:13" x14ac:dyDescent="0.25">
      <c r="A14" s="14">
        <v>10</v>
      </c>
      <c r="B14" s="15" t="s">
        <v>1397</v>
      </c>
      <c r="C14" s="14" t="s">
        <v>1350</v>
      </c>
      <c r="D14" s="14" t="s">
        <v>1398</v>
      </c>
      <c r="E14" s="14" t="s">
        <v>1399</v>
      </c>
      <c r="F14" s="14" t="s">
        <v>1400</v>
      </c>
      <c r="G14" s="14" t="s">
        <v>567</v>
      </c>
      <c r="H14" s="14" t="s">
        <v>1354</v>
      </c>
      <c r="I14" s="14" t="str">
        <f>HYPERLINK("https://he-eppat.vercel.app/Backlog-IDDS-PL-MASUK-Prototype.html","https://he-eppat.vercel.app/Backlog-IDDS-PL-MASUK-Prototype.html")</f>
        <v>https://he-eppat.vercel.app/Backlog-IDDS-PL-MASUK-Prototype.html</v>
      </c>
      <c r="J14" s="14" t="s">
        <v>1401</v>
      </c>
      <c r="K14" s="12" t="s">
        <v>541</v>
      </c>
      <c r="L14" s="12" t="s">
        <v>1356</v>
      </c>
      <c r="M14" s="16">
        <v>46321</v>
      </c>
    </row>
    <row r="15" spans="1:13" x14ac:dyDescent="0.25">
      <c r="A15" s="10">
        <v>11</v>
      </c>
      <c r="B15" s="11" t="s">
        <v>1402</v>
      </c>
      <c r="C15" s="10" t="s">
        <v>1403</v>
      </c>
      <c r="D15" s="10" t="s">
        <v>1404</v>
      </c>
      <c r="E15" s="10" t="s">
        <v>1405</v>
      </c>
      <c r="F15" s="10" t="s">
        <v>1406</v>
      </c>
      <c r="G15" s="10" t="s">
        <v>567</v>
      </c>
      <c r="H15" s="10" t="s">
        <v>1407</v>
      </c>
      <c r="I15" s="10" t="str">
        <f>HYPERLINK("https://he-eppat.vercel.app/Backlog-IDDS-PL-MONITORING-Prototype.html","https://he-eppat.vercel.app/Backlog-IDDS-PL-MONITORING-Prototype.html")</f>
        <v>https://he-eppat.vercel.app/Backlog-IDDS-PL-MONITORING-Prototype.html</v>
      </c>
      <c r="J15" s="10" t="s">
        <v>1408</v>
      </c>
      <c r="K15" s="12" t="s">
        <v>541</v>
      </c>
      <c r="L15" s="12" t="s">
        <v>1409</v>
      </c>
      <c r="M15" s="13">
        <v>46321</v>
      </c>
    </row>
    <row r="16" spans="1:13" x14ac:dyDescent="0.25">
      <c r="A16" s="14">
        <v>12</v>
      </c>
      <c r="B16" s="15" t="s">
        <v>1410</v>
      </c>
      <c r="C16" s="14" t="s">
        <v>1403</v>
      </c>
      <c r="D16" s="14" t="s">
        <v>1411</v>
      </c>
      <c r="E16" s="14" t="s">
        <v>1412</v>
      </c>
      <c r="F16" s="14" t="s">
        <v>1413</v>
      </c>
      <c r="G16" s="14" t="s">
        <v>567</v>
      </c>
      <c r="H16" s="14" t="s">
        <v>1407</v>
      </c>
      <c r="I16" s="14" t="str">
        <f>HYPERLINK("https://he-eppat.vercel.app/Backlog-IDDS-PL-MONITORING-Prototype.html","https://he-eppat.vercel.app/Backlog-IDDS-PL-MONITORING-Prototype.html")</f>
        <v>https://he-eppat.vercel.app/Backlog-IDDS-PL-MONITORING-Prototype.html</v>
      </c>
      <c r="J16" s="14" t="s">
        <v>1414</v>
      </c>
      <c r="K16" s="12" t="s">
        <v>541</v>
      </c>
      <c r="L16" s="12" t="s">
        <v>1409</v>
      </c>
      <c r="M16" s="16">
        <v>46321</v>
      </c>
    </row>
    <row r="17" spans="1:13" x14ac:dyDescent="0.25">
      <c r="A17" s="10">
        <v>13</v>
      </c>
      <c r="B17" s="11" t="s">
        <v>1415</v>
      </c>
      <c r="C17" s="10" t="s">
        <v>1403</v>
      </c>
      <c r="D17" s="10" t="s">
        <v>1416</v>
      </c>
      <c r="E17" s="10" t="s">
        <v>1417</v>
      </c>
      <c r="F17" s="10" t="s">
        <v>1418</v>
      </c>
      <c r="G17" s="10" t="s">
        <v>567</v>
      </c>
      <c r="H17" s="10" t="s">
        <v>1407</v>
      </c>
      <c r="I17" s="10" t="str">
        <f>HYPERLINK("https://he-eppat.vercel.app/Backlog-IDDS-PL-MONITORING-Prototype.html","https://he-eppat.vercel.app/Backlog-IDDS-PL-MONITORING-Prototype.html")</f>
        <v>https://he-eppat.vercel.app/Backlog-IDDS-PL-MONITORING-Prototype.html</v>
      </c>
      <c r="J17" s="10" t="s">
        <v>1419</v>
      </c>
      <c r="K17" s="12" t="s">
        <v>541</v>
      </c>
      <c r="L17" s="12" t="s">
        <v>1409</v>
      </c>
      <c r="M17" s="13">
        <v>46321</v>
      </c>
    </row>
    <row r="18" spans="1:13" x14ac:dyDescent="0.25">
      <c r="A18" s="14">
        <v>14</v>
      </c>
      <c r="B18" s="15" t="s">
        <v>1420</v>
      </c>
      <c r="C18" s="14" t="s">
        <v>1403</v>
      </c>
      <c r="D18" s="14" t="s">
        <v>1421</v>
      </c>
      <c r="E18" s="14" t="s">
        <v>1422</v>
      </c>
      <c r="F18" s="14" t="s">
        <v>1423</v>
      </c>
      <c r="G18" s="14" t="s">
        <v>567</v>
      </c>
      <c r="H18" s="14" t="s">
        <v>1407</v>
      </c>
      <c r="I18" s="14" t="str">
        <f>HYPERLINK("https://he-eppat.vercel.app/Backlog-IDDS-PL-MONITORING-Prototype.html","https://he-eppat.vercel.app/Backlog-IDDS-PL-MONITORING-Prototype.html")</f>
        <v>https://he-eppat.vercel.app/Backlog-IDDS-PL-MONITORING-Prototype.html</v>
      </c>
      <c r="J18" s="14" t="s">
        <v>1424</v>
      </c>
      <c r="K18" s="12" t="s">
        <v>541</v>
      </c>
      <c r="L18" s="12" t="s">
        <v>1409</v>
      </c>
      <c r="M18" s="16">
        <v>46321</v>
      </c>
    </row>
    <row r="19" spans="1:13" x14ac:dyDescent="0.25">
      <c r="A19" s="10">
        <v>15</v>
      </c>
      <c r="B19" s="11" t="s">
        <v>1425</v>
      </c>
      <c r="C19" s="10" t="s">
        <v>1403</v>
      </c>
      <c r="D19" s="10" t="s">
        <v>1426</v>
      </c>
      <c r="E19" s="10" t="s">
        <v>1427</v>
      </c>
      <c r="F19" s="10" t="s">
        <v>1428</v>
      </c>
      <c r="G19" s="10" t="s">
        <v>567</v>
      </c>
      <c r="H19" s="10" t="s">
        <v>1407</v>
      </c>
      <c r="I19" s="10" t="str">
        <f>HYPERLINK("https://he-eppat.vercel.app/Backlog-IDDS-PL-MONITORING-Prototype.html","https://he-eppat.vercel.app/Backlog-IDDS-PL-MONITORING-Prototype.html")</f>
        <v>https://he-eppat.vercel.app/Backlog-IDDS-PL-MONITORING-Prototype.html</v>
      </c>
      <c r="J19" s="10" t="s">
        <v>1429</v>
      </c>
      <c r="K19" s="12" t="s">
        <v>541</v>
      </c>
      <c r="L19" s="12" t="s">
        <v>1409</v>
      </c>
      <c r="M19" s="13">
        <v>46321</v>
      </c>
    </row>
    <row r="20" spans="1:13" x14ac:dyDescent="0.25">
      <c r="A20" s="14">
        <v>16</v>
      </c>
      <c r="B20" s="15" t="s">
        <v>1430</v>
      </c>
      <c r="C20" s="14" t="s">
        <v>1403</v>
      </c>
      <c r="D20" s="14" t="s">
        <v>1431</v>
      </c>
      <c r="E20" s="14" t="s">
        <v>1432</v>
      </c>
      <c r="F20" s="14" t="s">
        <v>1433</v>
      </c>
      <c r="G20" s="14" t="s">
        <v>567</v>
      </c>
      <c r="H20" s="14" t="s">
        <v>1407</v>
      </c>
      <c r="I20" s="14" t="str">
        <f>HYPERLINK("https://he-eppat.vercel.app/Backlog-IDDS-PL-MONITORING-Prototype.html","https://he-eppat.vercel.app/Backlog-IDDS-PL-MONITORING-Prototype.html")</f>
        <v>https://he-eppat.vercel.app/Backlog-IDDS-PL-MONITORING-Prototype.html</v>
      </c>
      <c r="J20" s="14" t="s">
        <v>1434</v>
      </c>
      <c r="K20" s="12" t="s">
        <v>541</v>
      </c>
      <c r="L20" s="12" t="s">
        <v>1409</v>
      </c>
      <c r="M20" s="16">
        <v>46321</v>
      </c>
    </row>
    <row r="21" spans="1:13" x14ac:dyDescent="0.25">
      <c r="A21" s="10">
        <v>17</v>
      </c>
      <c r="B21" s="11" t="s">
        <v>1435</v>
      </c>
      <c r="C21" s="10" t="s">
        <v>1403</v>
      </c>
      <c r="D21" s="10" t="s">
        <v>1436</v>
      </c>
      <c r="E21" s="10" t="s">
        <v>1437</v>
      </c>
      <c r="F21" s="10" t="s">
        <v>1438</v>
      </c>
      <c r="G21" s="10" t="s">
        <v>567</v>
      </c>
      <c r="H21" s="10" t="s">
        <v>1407</v>
      </c>
      <c r="I21" s="10" t="str">
        <f>HYPERLINK("https://he-eppat.vercel.app/Backlog-IDDS-PL-MONITORING-Prototype.html","https://he-eppat.vercel.app/Backlog-IDDS-PL-MONITORING-Prototype.html")</f>
        <v>https://he-eppat.vercel.app/Backlog-IDDS-PL-MONITORING-Prototype.html</v>
      </c>
      <c r="J21" s="10" t="s">
        <v>1439</v>
      </c>
      <c r="K21" s="12" t="s">
        <v>541</v>
      </c>
      <c r="L21" s="12" t="s">
        <v>1409</v>
      </c>
      <c r="M21" s="13">
        <v>46321</v>
      </c>
    </row>
    <row r="22" spans="1:13" x14ac:dyDescent="0.25">
      <c r="A22" s="14">
        <v>18</v>
      </c>
      <c r="B22" s="15" t="s">
        <v>1440</v>
      </c>
      <c r="C22" s="14" t="s">
        <v>1403</v>
      </c>
      <c r="D22" s="14" t="s">
        <v>1441</v>
      </c>
      <c r="E22" s="14" t="s">
        <v>1442</v>
      </c>
      <c r="F22" s="14" t="s">
        <v>1443</v>
      </c>
      <c r="G22" s="14" t="s">
        <v>567</v>
      </c>
      <c r="H22" s="14" t="s">
        <v>1407</v>
      </c>
      <c r="I22" s="14" t="str">
        <f>HYPERLINK("https://he-eppat.vercel.app/Backlog-IDDS-PL-MONITORING-Prototype.html","https://he-eppat.vercel.app/Backlog-IDDS-PL-MONITORING-Prototype.html")</f>
        <v>https://he-eppat.vercel.app/Backlog-IDDS-PL-MONITORING-Prototype.html</v>
      </c>
      <c r="J22" s="14" t="s">
        <v>1444</v>
      </c>
      <c r="K22" s="12" t="s">
        <v>541</v>
      </c>
      <c r="L22" s="12" t="s">
        <v>1409</v>
      </c>
      <c r="M22" s="16">
        <v>46321</v>
      </c>
    </row>
    <row r="23" spans="1:13" x14ac:dyDescent="0.25">
      <c r="A23" s="10">
        <v>19</v>
      </c>
      <c r="B23" s="11" t="s">
        <v>1445</v>
      </c>
      <c r="C23" s="10" t="s">
        <v>1403</v>
      </c>
      <c r="D23" s="10" t="s">
        <v>1446</v>
      </c>
      <c r="E23" s="10" t="s">
        <v>1447</v>
      </c>
      <c r="F23" s="10" t="s">
        <v>1448</v>
      </c>
      <c r="G23" s="10" t="s">
        <v>567</v>
      </c>
      <c r="H23" s="10" t="s">
        <v>1407</v>
      </c>
      <c r="I23" s="10" t="str">
        <f>HYPERLINK("https://he-eppat.vercel.app/Backlog-IDDS-PL-MONITORING-Prototype.html","https://he-eppat.vercel.app/Backlog-IDDS-PL-MONITORING-Prototype.html")</f>
        <v>https://he-eppat.vercel.app/Backlog-IDDS-PL-MONITORING-Prototype.html</v>
      </c>
      <c r="J23" s="10" t="s">
        <v>1449</v>
      </c>
      <c r="K23" s="12" t="s">
        <v>541</v>
      </c>
      <c r="L23" s="12" t="s">
        <v>1409</v>
      </c>
      <c r="M23" s="13">
        <v>46321</v>
      </c>
    </row>
    <row r="24" spans="1:13" x14ac:dyDescent="0.25">
      <c r="A24" s="14">
        <v>20</v>
      </c>
      <c r="B24" s="15" t="s">
        <v>1450</v>
      </c>
      <c r="C24" s="14" t="s">
        <v>1403</v>
      </c>
      <c r="D24" s="14" t="s">
        <v>1451</v>
      </c>
      <c r="E24" s="14" t="s">
        <v>1452</v>
      </c>
      <c r="F24" s="14" t="s">
        <v>1453</v>
      </c>
      <c r="G24" s="14" t="s">
        <v>567</v>
      </c>
      <c r="H24" s="14" t="s">
        <v>1407</v>
      </c>
      <c r="I24" s="14" t="str">
        <f>HYPERLINK("https://he-eppat.vercel.app/Backlog-IDDS-PL-MONITORING-Prototype.html","https://he-eppat.vercel.app/Backlog-IDDS-PL-MONITORING-Prototype.html")</f>
        <v>https://he-eppat.vercel.app/Backlog-IDDS-PL-MONITORING-Prototype.html</v>
      </c>
      <c r="J24" s="14" t="s">
        <v>1454</v>
      </c>
      <c r="K24" s="12" t="s">
        <v>541</v>
      </c>
      <c r="L24" s="12" t="s">
        <v>1409</v>
      </c>
      <c r="M24" s="16">
        <v>46321</v>
      </c>
    </row>
    <row r="25" spans="1:13" x14ac:dyDescent="0.25">
      <c r="A25" s="10">
        <v>21</v>
      </c>
      <c r="B25" s="11" t="s">
        <v>1455</v>
      </c>
      <c r="C25" s="10" t="s">
        <v>1456</v>
      </c>
      <c r="D25" s="10" t="s">
        <v>1457</v>
      </c>
      <c r="E25" s="10" t="s">
        <v>1458</v>
      </c>
      <c r="F25" s="10" t="s">
        <v>1459</v>
      </c>
      <c r="G25" s="10" t="s">
        <v>567</v>
      </c>
      <c r="H25" s="10" t="s">
        <v>1460</v>
      </c>
      <c r="I25" s="10" t="str">
        <f>HYPERLINK("https://he-eppat.vercel.app/Backlog-IDDS-PL-AKTA-Prototype.html","https://he-eppat.vercel.app/Backlog-IDDS-PL-AKTA-Prototype.html")</f>
        <v>https://he-eppat.vercel.app/Backlog-IDDS-PL-AKTA-Prototype.html</v>
      </c>
      <c r="J25" s="10" t="s">
        <v>1461</v>
      </c>
      <c r="K25" s="12" t="s">
        <v>541</v>
      </c>
      <c r="L25" s="12" t="s">
        <v>27</v>
      </c>
      <c r="M25" s="13">
        <v>46321</v>
      </c>
    </row>
    <row r="26" spans="1:13" x14ac:dyDescent="0.25">
      <c r="A26" s="14">
        <v>22</v>
      </c>
      <c r="B26" s="15" t="s">
        <v>1462</v>
      </c>
      <c r="C26" s="14" t="s">
        <v>1456</v>
      </c>
      <c r="D26" s="14" t="s">
        <v>1463</v>
      </c>
      <c r="E26" s="14" t="s">
        <v>1464</v>
      </c>
      <c r="F26" s="14" t="s">
        <v>1465</v>
      </c>
      <c r="G26" s="14" t="s">
        <v>567</v>
      </c>
      <c r="H26" s="14" t="s">
        <v>1460</v>
      </c>
      <c r="I26" s="14" t="str">
        <f>HYPERLINK("https://he-eppat.vercel.app/Backlog-IDDS-PL-AKTA-Prototype.html","https://he-eppat.vercel.app/Backlog-IDDS-PL-AKTA-Prototype.html")</f>
        <v>https://he-eppat.vercel.app/Backlog-IDDS-PL-AKTA-Prototype.html</v>
      </c>
      <c r="J26" s="14" t="s">
        <v>1466</v>
      </c>
      <c r="K26" s="12" t="s">
        <v>541</v>
      </c>
      <c r="L26" s="12" t="s">
        <v>27</v>
      </c>
      <c r="M26" s="16">
        <v>46321</v>
      </c>
    </row>
    <row r="27" spans="1:13" x14ac:dyDescent="0.25">
      <c r="A27" s="10">
        <v>23</v>
      </c>
      <c r="B27" s="11" t="s">
        <v>1467</v>
      </c>
      <c r="C27" s="10" t="s">
        <v>1456</v>
      </c>
      <c r="D27" s="10" t="s">
        <v>1468</v>
      </c>
      <c r="E27" s="10" t="s">
        <v>1469</v>
      </c>
      <c r="F27" s="10" t="s">
        <v>1470</v>
      </c>
      <c r="G27" s="10" t="s">
        <v>567</v>
      </c>
      <c r="H27" s="10" t="s">
        <v>1460</v>
      </c>
      <c r="I27" s="10" t="str">
        <f>HYPERLINK("https://he-eppat.vercel.app/Backlog-IDDS-PL-AKTA-Prototype.html","https://he-eppat.vercel.app/Backlog-IDDS-PL-AKTA-Prototype.html")</f>
        <v>https://he-eppat.vercel.app/Backlog-IDDS-PL-AKTA-Prototype.html</v>
      </c>
      <c r="J27" s="10" t="s">
        <v>1471</v>
      </c>
      <c r="K27" s="12" t="s">
        <v>541</v>
      </c>
      <c r="L27" s="12" t="s">
        <v>27</v>
      </c>
      <c r="M27" s="13">
        <v>46321</v>
      </c>
    </row>
    <row r="28" spans="1:13" x14ac:dyDescent="0.25">
      <c r="A28" s="14">
        <v>24</v>
      </c>
      <c r="B28" s="15" t="s">
        <v>1472</v>
      </c>
      <c r="C28" s="14" t="s">
        <v>1456</v>
      </c>
      <c r="D28" s="14" t="s">
        <v>1473</v>
      </c>
      <c r="E28" s="14" t="s">
        <v>1474</v>
      </c>
      <c r="F28" s="14" t="s">
        <v>1475</v>
      </c>
      <c r="G28" s="14" t="s">
        <v>567</v>
      </c>
      <c r="H28" s="14" t="s">
        <v>1460</v>
      </c>
      <c r="I28" s="14" t="str">
        <f>HYPERLINK("https://he-eppat.vercel.app/Backlog-IDDS-PL-AKTA-Prototype.html","https://he-eppat.vercel.app/Backlog-IDDS-PL-AKTA-Prototype.html")</f>
        <v>https://he-eppat.vercel.app/Backlog-IDDS-PL-AKTA-Prototype.html</v>
      </c>
      <c r="J28" s="14" t="s">
        <v>1476</v>
      </c>
      <c r="K28" s="12" t="s">
        <v>541</v>
      </c>
      <c r="L28" s="12" t="s">
        <v>27</v>
      </c>
      <c r="M28" s="16">
        <v>46321</v>
      </c>
    </row>
    <row r="29" spans="1:13" x14ac:dyDescent="0.25">
      <c r="A29" s="10">
        <v>25</v>
      </c>
      <c r="B29" s="11" t="s">
        <v>1477</v>
      </c>
      <c r="C29" s="10" t="s">
        <v>1456</v>
      </c>
      <c r="D29" s="10" t="s">
        <v>1478</v>
      </c>
      <c r="E29" s="10" t="s">
        <v>1479</v>
      </c>
      <c r="F29" s="10" t="s">
        <v>1480</v>
      </c>
      <c r="G29" s="10" t="s">
        <v>567</v>
      </c>
      <c r="H29" s="10" t="s">
        <v>1460</v>
      </c>
      <c r="I29" s="10" t="str">
        <f>HYPERLINK("https://he-eppat.vercel.app/Backlog-IDDS-PL-AKTA-Prototype.html","https://he-eppat.vercel.app/Backlog-IDDS-PL-AKTA-Prototype.html")</f>
        <v>https://he-eppat.vercel.app/Backlog-IDDS-PL-AKTA-Prototype.html</v>
      </c>
      <c r="J29" s="10" t="s">
        <v>1481</v>
      </c>
      <c r="K29" s="12" t="s">
        <v>541</v>
      </c>
      <c r="L29" s="12" t="s">
        <v>27</v>
      </c>
      <c r="M29" s="13">
        <v>46321</v>
      </c>
    </row>
    <row r="30" spans="1:13" x14ac:dyDescent="0.25">
      <c r="A30" s="14">
        <v>26</v>
      </c>
      <c r="B30" s="15" t="s">
        <v>1482</v>
      </c>
      <c r="C30" s="14" t="s">
        <v>1456</v>
      </c>
      <c r="D30" s="14" t="s">
        <v>1483</v>
      </c>
      <c r="E30" s="14" t="s">
        <v>1484</v>
      </c>
      <c r="F30" s="14" t="s">
        <v>1485</v>
      </c>
      <c r="G30" s="14" t="s">
        <v>567</v>
      </c>
      <c r="H30" s="14" t="s">
        <v>1460</v>
      </c>
      <c r="I30" s="14" t="str">
        <f>HYPERLINK("https://he-eppat.vercel.app/Backlog-IDDS-PL-AKTA-Prototype.html","https://he-eppat.vercel.app/Backlog-IDDS-PL-AKTA-Prototype.html")</f>
        <v>https://he-eppat.vercel.app/Backlog-IDDS-PL-AKTA-Prototype.html</v>
      </c>
      <c r="J30" s="14" t="s">
        <v>1486</v>
      </c>
      <c r="K30" s="12" t="s">
        <v>541</v>
      </c>
      <c r="L30" s="12" t="s">
        <v>27</v>
      </c>
      <c r="M30" s="16">
        <v>46321</v>
      </c>
    </row>
    <row r="31" spans="1:13" x14ac:dyDescent="0.25">
      <c r="A31" s="10">
        <v>27</v>
      </c>
      <c r="B31" s="11" t="s">
        <v>1487</v>
      </c>
      <c r="C31" s="10" t="s">
        <v>1456</v>
      </c>
      <c r="D31" s="10" t="s">
        <v>1488</v>
      </c>
      <c r="E31" s="10" t="s">
        <v>1489</v>
      </c>
      <c r="F31" s="10" t="s">
        <v>1490</v>
      </c>
      <c r="G31" s="10" t="s">
        <v>567</v>
      </c>
      <c r="H31" s="10" t="s">
        <v>1460</v>
      </c>
      <c r="I31" s="10" t="str">
        <f>HYPERLINK("https://he-eppat.vercel.app/Backlog-IDDS-PL-AKTA-Prototype.html","https://he-eppat.vercel.app/Backlog-IDDS-PL-AKTA-Prototype.html")</f>
        <v>https://he-eppat.vercel.app/Backlog-IDDS-PL-AKTA-Prototype.html</v>
      </c>
      <c r="J31" s="10" t="s">
        <v>1491</v>
      </c>
      <c r="K31" s="12" t="s">
        <v>541</v>
      </c>
      <c r="L31" s="12" t="s">
        <v>27</v>
      </c>
      <c r="M31" s="13">
        <v>46321</v>
      </c>
    </row>
    <row r="32" spans="1:13" x14ac:dyDescent="0.25">
      <c r="A32" s="14">
        <v>28</v>
      </c>
      <c r="B32" s="15" t="s">
        <v>1492</v>
      </c>
      <c r="C32" s="14" t="s">
        <v>1456</v>
      </c>
      <c r="D32" s="14" t="s">
        <v>1493</v>
      </c>
      <c r="E32" s="14" t="s">
        <v>1494</v>
      </c>
      <c r="F32" s="14" t="s">
        <v>1495</v>
      </c>
      <c r="G32" s="14" t="s">
        <v>567</v>
      </c>
      <c r="H32" s="14" t="s">
        <v>1460</v>
      </c>
      <c r="I32" s="14" t="str">
        <f>HYPERLINK("https://he-eppat.vercel.app/Backlog-IDDS-PL-AKTA-Prototype.html","https://he-eppat.vercel.app/Backlog-IDDS-PL-AKTA-Prototype.html")</f>
        <v>https://he-eppat.vercel.app/Backlog-IDDS-PL-AKTA-Prototype.html</v>
      </c>
      <c r="J32" s="14" t="s">
        <v>1496</v>
      </c>
      <c r="K32" s="12" t="s">
        <v>541</v>
      </c>
      <c r="L32" s="12" t="s">
        <v>27</v>
      </c>
      <c r="M32" s="16">
        <v>46321</v>
      </c>
    </row>
    <row r="33" spans="1:13" x14ac:dyDescent="0.25">
      <c r="A33" s="10">
        <v>29</v>
      </c>
      <c r="B33" s="11" t="s">
        <v>1497</v>
      </c>
      <c r="C33" s="10" t="s">
        <v>1456</v>
      </c>
      <c r="D33" s="10" t="s">
        <v>1498</v>
      </c>
      <c r="E33" s="10" t="s">
        <v>1499</v>
      </c>
      <c r="F33" s="10" t="s">
        <v>1500</v>
      </c>
      <c r="G33" s="10" t="s">
        <v>567</v>
      </c>
      <c r="H33" s="10" t="s">
        <v>1460</v>
      </c>
      <c r="I33" s="10" t="str">
        <f>HYPERLINK("https://he-eppat.vercel.app/Backlog-IDDS-PL-AKTA-Prototype.html","https://he-eppat.vercel.app/Backlog-IDDS-PL-AKTA-Prototype.html")</f>
        <v>https://he-eppat.vercel.app/Backlog-IDDS-PL-AKTA-Prototype.html</v>
      </c>
      <c r="J33" s="10" t="s">
        <v>1501</v>
      </c>
      <c r="K33" s="12" t="s">
        <v>541</v>
      </c>
      <c r="L33" s="12" t="s">
        <v>27</v>
      </c>
      <c r="M33" s="13">
        <v>46321</v>
      </c>
    </row>
    <row r="34" spans="1:13" x14ac:dyDescent="0.25">
      <c r="A34" s="14">
        <v>30</v>
      </c>
      <c r="B34" s="15" t="s">
        <v>1502</v>
      </c>
      <c r="C34" s="14" t="s">
        <v>1456</v>
      </c>
      <c r="D34" s="14" t="s">
        <v>1503</v>
      </c>
      <c r="E34" s="14" t="s">
        <v>1504</v>
      </c>
      <c r="F34" s="14" t="s">
        <v>1505</v>
      </c>
      <c r="G34" s="14" t="s">
        <v>567</v>
      </c>
      <c r="H34" s="14" t="s">
        <v>1460</v>
      </c>
      <c r="I34" s="14" t="str">
        <f>HYPERLINK("https://he-eppat.vercel.app/Backlog-IDDS-PL-AKTA-Prototype.html","https://he-eppat.vercel.app/Backlog-IDDS-PL-AKTA-Prototype.html")</f>
        <v>https://he-eppat.vercel.app/Backlog-IDDS-PL-AKTA-Prototype.html</v>
      </c>
      <c r="J34" s="14" t="s">
        <v>1506</v>
      </c>
      <c r="K34" s="12" t="s">
        <v>541</v>
      </c>
      <c r="L34" s="12" t="s">
        <v>27</v>
      </c>
      <c r="M34" s="16">
        <v>46321</v>
      </c>
    </row>
    <row r="35" spans="1:13" x14ac:dyDescent="0.25">
      <c r="A35" s="10">
        <v>31</v>
      </c>
      <c r="B35" s="11" t="s">
        <v>1507</v>
      </c>
      <c r="C35" s="10" t="s">
        <v>1508</v>
      </c>
      <c r="D35" s="10" t="s">
        <v>1509</v>
      </c>
      <c r="E35" s="10" t="s">
        <v>1510</v>
      </c>
      <c r="F35" s="10" t="s">
        <v>1511</v>
      </c>
      <c r="G35" s="10" t="s">
        <v>567</v>
      </c>
      <c r="H35" s="10" t="s">
        <v>1512</v>
      </c>
      <c r="I35" s="10" t="str">
        <f>HYPERLINK("https://he-eppat.vercel.app/Backlog-IDDS-PL-SISTEM-Prototype.html","https://he-eppat.vercel.app/Backlog-IDDS-PL-SISTEM-Prototype.html")</f>
        <v>https://he-eppat.vercel.app/Backlog-IDDS-PL-SISTEM-Prototype.html</v>
      </c>
      <c r="J35" s="10" t="s">
        <v>1513</v>
      </c>
      <c r="K35" s="12" t="s">
        <v>541</v>
      </c>
      <c r="L35" s="12" t="s">
        <v>1514</v>
      </c>
      <c r="M35" s="13">
        <v>46321</v>
      </c>
    </row>
    <row r="36" spans="1:13" x14ac:dyDescent="0.25">
      <c r="A36" s="14">
        <v>32</v>
      </c>
      <c r="B36" s="15" t="s">
        <v>1515</v>
      </c>
      <c r="C36" s="14" t="s">
        <v>1508</v>
      </c>
      <c r="D36" s="14" t="s">
        <v>1516</v>
      </c>
      <c r="E36" s="14" t="s">
        <v>1517</v>
      </c>
      <c r="F36" s="14" t="s">
        <v>1518</v>
      </c>
      <c r="G36" s="14" t="s">
        <v>567</v>
      </c>
      <c r="H36" s="14" t="s">
        <v>1512</v>
      </c>
      <c r="I36" s="14" t="str">
        <f>HYPERLINK("https://he-eppat.vercel.app/Backlog-IDDS-PL-SISTEM-Prototype.html","https://he-eppat.vercel.app/Backlog-IDDS-PL-SISTEM-Prototype.html")</f>
        <v>https://he-eppat.vercel.app/Backlog-IDDS-PL-SISTEM-Prototype.html</v>
      </c>
      <c r="J36" s="14" t="s">
        <v>1519</v>
      </c>
      <c r="K36" s="12" t="s">
        <v>541</v>
      </c>
      <c r="L36" s="12" t="s">
        <v>1514</v>
      </c>
      <c r="M36" s="16">
        <v>46321</v>
      </c>
    </row>
    <row r="37" spans="1:13" x14ac:dyDescent="0.25">
      <c r="A37" s="10">
        <v>33</v>
      </c>
      <c r="B37" s="11" t="s">
        <v>1520</v>
      </c>
      <c r="C37" s="10" t="s">
        <v>1508</v>
      </c>
      <c r="D37" s="10" t="s">
        <v>1521</v>
      </c>
      <c r="E37" s="10" t="s">
        <v>1522</v>
      </c>
      <c r="F37" s="10" t="s">
        <v>1523</v>
      </c>
      <c r="G37" s="10" t="s">
        <v>567</v>
      </c>
      <c r="H37" s="10" t="s">
        <v>1512</v>
      </c>
      <c r="I37" s="10" t="str">
        <f>HYPERLINK("https://he-eppat.vercel.app/Backlog-IDDS-PL-SISTEM-Prototype.html","https://he-eppat.vercel.app/Backlog-IDDS-PL-SISTEM-Prototype.html")</f>
        <v>https://he-eppat.vercel.app/Backlog-IDDS-PL-SISTEM-Prototype.html</v>
      </c>
      <c r="J37" s="10" t="s">
        <v>1524</v>
      </c>
      <c r="K37" s="12" t="s">
        <v>541</v>
      </c>
      <c r="L37" s="12" t="s">
        <v>1514</v>
      </c>
      <c r="M37" s="13">
        <v>46321</v>
      </c>
    </row>
    <row r="38" spans="1:13" x14ac:dyDescent="0.25">
      <c r="A38" s="14">
        <v>34</v>
      </c>
      <c r="B38" s="15" t="s">
        <v>1525</v>
      </c>
      <c r="C38" s="14" t="s">
        <v>1508</v>
      </c>
      <c r="D38" s="14" t="s">
        <v>1526</v>
      </c>
      <c r="E38" s="14" t="s">
        <v>1527</v>
      </c>
      <c r="F38" s="14" t="s">
        <v>1528</v>
      </c>
      <c r="G38" s="14" t="s">
        <v>567</v>
      </c>
      <c r="H38" s="14" t="s">
        <v>1512</v>
      </c>
      <c r="I38" s="14" t="str">
        <f>HYPERLINK("https://he-eppat.vercel.app/Backlog-IDDS-PL-SISTEM-Prototype.html","https://he-eppat.vercel.app/Backlog-IDDS-PL-SISTEM-Prototype.html")</f>
        <v>https://he-eppat.vercel.app/Backlog-IDDS-PL-SISTEM-Prototype.html</v>
      </c>
      <c r="J38" s="14" t="s">
        <v>1529</v>
      </c>
      <c r="K38" s="12" t="s">
        <v>541</v>
      </c>
      <c r="L38" s="12" t="s">
        <v>27</v>
      </c>
      <c r="M38" s="16">
        <v>46321</v>
      </c>
    </row>
    <row r="39" spans="1:13" x14ac:dyDescent="0.25">
      <c r="A39" s="10">
        <v>35</v>
      </c>
      <c r="B39" s="11" t="s">
        <v>1530</v>
      </c>
      <c r="C39" s="10" t="s">
        <v>1508</v>
      </c>
      <c r="D39" s="10" t="s">
        <v>1531</v>
      </c>
      <c r="E39" s="10" t="s">
        <v>1532</v>
      </c>
      <c r="F39" s="10" t="s">
        <v>1533</v>
      </c>
      <c r="G39" s="10" t="s">
        <v>567</v>
      </c>
      <c r="H39" s="10" t="s">
        <v>1512</v>
      </c>
      <c r="I39" s="10" t="str">
        <f>HYPERLINK("https://he-eppat.vercel.app/Backlog-IDDS-PL-SISTEM-Prototype.html","https://he-eppat.vercel.app/Backlog-IDDS-PL-SISTEM-Prototype.html")</f>
        <v>https://he-eppat.vercel.app/Backlog-IDDS-PL-SISTEM-Prototype.html</v>
      </c>
      <c r="J39" s="10" t="s">
        <v>1534</v>
      </c>
      <c r="K39" s="12" t="s">
        <v>541</v>
      </c>
      <c r="L39" s="12" t="s">
        <v>27</v>
      </c>
      <c r="M39" s="13">
        <v>46321</v>
      </c>
    </row>
    <row r="40" spans="1:13" x14ac:dyDescent="0.25">
      <c r="A40" s="14">
        <v>36</v>
      </c>
      <c r="B40" s="15" t="s">
        <v>1535</v>
      </c>
      <c r="C40" s="14" t="s">
        <v>1508</v>
      </c>
      <c r="D40" s="14" t="s">
        <v>1536</v>
      </c>
      <c r="E40" s="14" t="s">
        <v>1537</v>
      </c>
      <c r="F40" s="14" t="s">
        <v>1538</v>
      </c>
      <c r="G40" s="14" t="s">
        <v>567</v>
      </c>
      <c r="H40" s="14" t="s">
        <v>1512</v>
      </c>
      <c r="I40" s="14" t="str">
        <f>HYPERLINK("https://he-eppat.vercel.app/Backlog-IDDS-PL-SISTEM-Prototype.html","https://he-eppat.vercel.app/Backlog-IDDS-PL-SISTEM-Prototype.html")</f>
        <v>https://he-eppat.vercel.app/Backlog-IDDS-PL-SISTEM-Prototype.html</v>
      </c>
      <c r="J40" s="14" t="s">
        <v>1539</v>
      </c>
      <c r="K40" s="12" t="s">
        <v>541</v>
      </c>
      <c r="L40" s="12" t="s">
        <v>27</v>
      </c>
      <c r="M40" s="16">
        <v>46321</v>
      </c>
    </row>
    <row r="41" spans="1:13" x14ac:dyDescent="0.25">
      <c r="A41" s="10">
        <v>37</v>
      </c>
      <c r="B41" s="11" t="s">
        <v>1540</v>
      </c>
      <c r="C41" s="10" t="s">
        <v>1508</v>
      </c>
      <c r="D41" s="10" t="s">
        <v>1541</v>
      </c>
      <c r="E41" s="10" t="s">
        <v>1542</v>
      </c>
      <c r="F41" s="10" t="s">
        <v>1543</v>
      </c>
      <c r="G41" s="10" t="s">
        <v>567</v>
      </c>
      <c r="H41" s="10" t="s">
        <v>1512</v>
      </c>
      <c r="I41" s="10" t="str">
        <f>HYPERLINK("https://he-eppat.vercel.app/Backlog-IDDS-PL-SISTEM-Prototype.html","https://he-eppat.vercel.app/Backlog-IDDS-PL-SISTEM-Prototype.html")</f>
        <v>https://he-eppat.vercel.app/Backlog-IDDS-PL-SISTEM-Prototype.html</v>
      </c>
      <c r="J41" s="10" t="s">
        <v>1544</v>
      </c>
      <c r="K41" s="12" t="s">
        <v>541</v>
      </c>
      <c r="L41" s="12" t="s">
        <v>27</v>
      </c>
      <c r="M41" s="13">
        <v>46321</v>
      </c>
    </row>
    <row r="42" spans="1:13" x14ac:dyDescent="0.25">
      <c r="A42" s="14">
        <v>38</v>
      </c>
      <c r="B42" s="15" t="s">
        <v>1545</v>
      </c>
      <c r="C42" s="14" t="s">
        <v>1508</v>
      </c>
      <c r="D42" s="14" t="s">
        <v>1546</v>
      </c>
      <c r="E42" s="14" t="s">
        <v>1547</v>
      </c>
      <c r="F42" s="14" t="s">
        <v>1548</v>
      </c>
      <c r="G42" s="14" t="s">
        <v>567</v>
      </c>
      <c r="H42" s="14" t="s">
        <v>1512</v>
      </c>
      <c r="I42" s="14" t="str">
        <f>HYPERLINK("https://he-eppat.vercel.app/Backlog-IDDS-PL-SISTEM-Prototype.html","https://he-eppat.vercel.app/Backlog-IDDS-PL-SISTEM-Prototype.html")</f>
        <v>https://he-eppat.vercel.app/Backlog-IDDS-PL-SISTEM-Prototype.html</v>
      </c>
      <c r="J42" s="14" t="s">
        <v>1549</v>
      </c>
      <c r="K42" s="12" t="s">
        <v>541</v>
      </c>
      <c r="L42" s="12" t="s">
        <v>27</v>
      </c>
      <c r="M42" s="16">
        <v>46321</v>
      </c>
    </row>
    <row r="43" spans="1:13" x14ac:dyDescent="0.25">
      <c r="A43" s="10">
        <v>39</v>
      </c>
      <c r="B43" s="11" t="s">
        <v>1550</v>
      </c>
      <c r="C43" s="10" t="s">
        <v>1508</v>
      </c>
      <c r="D43" s="10" t="s">
        <v>1551</v>
      </c>
      <c r="E43" s="10" t="s">
        <v>1552</v>
      </c>
      <c r="F43" s="10" t="s">
        <v>1553</v>
      </c>
      <c r="G43" s="10" t="s">
        <v>567</v>
      </c>
      <c r="H43" s="10" t="s">
        <v>1512</v>
      </c>
      <c r="I43" s="10" t="str">
        <f>HYPERLINK("https://he-eppat.vercel.app/Backlog-IDDS-PL-SISTEM-Prototype.html","https://he-eppat.vercel.app/Backlog-IDDS-PL-SISTEM-Prototype.html")</f>
        <v>https://he-eppat.vercel.app/Backlog-IDDS-PL-SISTEM-Prototype.html</v>
      </c>
      <c r="J43" s="10" t="s">
        <v>1554</v>
      </c>
      <c r="K43" s="12" t="s">
        <v>541</v>
      </c>
      <c r="L43" s="12" t="s">
        <v>27</v>
      </c>
      <c r="M43" s="13">
        <v>46321</v>
      </c>
    </row>
    <row r="44" spans="1:13" x14ac:dyDescent="0.25">
      <c r="A44" s="14">
        <v>40</v>
      </c>
      <c r="B44" s="15" t="s">
        <v>1555</v>
      </c>
      <c r="C44" s="14" t="s">
        <v>1508</v>
      </c>
      <c r="D44" s="14" t="s">
        <v>1556</v>
      </c>
      <c r="E44" s="14" t="s">
        <v>1557</v>
      </c>
      <c r="F44" s="14" t="s">
        <v>1558</v>
      </c>
      <c r="G44" s="14" t="s">
        <v>567</v>
      </c>
      <c r="H44" s="14" t="s">
        <v>1512</v>
      </c>
      <c r="I44" s="14" t="str">
        <f>HYPERLINK("https://he-eppat.vercel.app/Backlog-IDDS-PL-SISTEM-Prototype.html","https://he-eppat.vercel.app/Backlog-IDDS-PL-SISTEM-Prototype.html")</f>
        <v>https://he-eppat.vercel.app/Backlog-IDDS-PL-SISTEM-Prototype.html</v>
      </c>
      <c r="J44" s="14" t="s">
        <v>1559</v>
      </c>
      <c r="K44" s="12" t="s">
        <v>541</v>
      </c>
      <c r="L44" s="12" t="s">
        <v>27</v>
      </c>
      <c r="M44" s="16">
        <v>46321</v>
      </c>
    </row>
    <row r="45" spans="1:13" x14ac:dyDescent="0.25">
      <c r="A45" s="10">
        <v>41</v>
      </c>
      <c r="B45" s="11" t="s">
        <v>1560</v>
      </c>
      <c r="C45" s="10" t="s">
        <v>1561</v>
      </c>
      <c r="D45" s="10" t="s">
        <v>1562</v>
      </c>
      <c r="E45" s="10" t="s">
        <v>1563</v>
      </c>
      <c r="F45" s="10" t="s">
        <v>1564</v>
      </c>
      <c r="G45" s="10" t="s">
        <v>567</v>
      </c>
      <c r="H45" s="10" t="s">
        <v>1565</v>
      </c>
      <c r="I45" s="10" t="str">
        <f>HYPERLINK("https://he-eppat.vercel.app/Backlog-IDDS-PL-MONITORING-Prototype.html","https://he-eppat.vercel.app/Backlog-IDDS-PL-MONITORING-Prototype.html")</f>
        <v>https://he-eppat.vercel.app/Backlog-IDDS-PL-MONITORING-Prototype.html</v>
      </c>
      <c r="J45" s="10" t="s">
        <v>1566</v>
      </c>
      <c r="K45" s="12" t="s">
        <v>541</v>
      </c>
      <c r="L45" s="12" t="s">
        <v>1567</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1568</v>
      </c>
      <c r="B1" s="1"/>
      <c r="C1" s="1"/>
      <c r="D1" s="1"/>
      <c r="E1" s="1"/>
      <c r="F1" s="1"/>
      <c r="G1" s="1"/>
      <c r="H1" s="1"/>
      <c r="I1" s="1"/>
      <c r="J1" s="1"/>
      <c r="K1" s="1"/>
      <c r="L1" s="1"/>
      <c r="M1" s="1"/>
    </row>
    <row r="2" spans="1:13" x14ac:dyDescent="0.25">
      <c r="A2" s="2" t="s">
        <v>1569</v>
      </c>
      <c r="B2" s="2"/>
      <c r="C2" s="2"/>
      <c r="D2" s="2"/>
      <c r="E2" s="2"/>
      <c r="F2" s="2"/>
      <c r="G2" s="2"/>
      <c r="H2" s="2"/>
      <c r="I2" s="2"/>
      <c r="J2" s="2"/>
      <c r="K2" s="2"/>
      <c r="L2" s="2"/>
      <c r="M2" s="2"/>
    </row>
    <row r="3" ht="18" customHeight="1" spans="1:6" x14ac:dyDescent="0.25">
      <c r="A3" s="9" t="str">
        <f>HYPERLINK("https://he-eppat.vercel.app/index.html#onboarding","Situs prototipe: https://he-eppat.vercel.app/  ·  Buka daftar prototipe kelompok ini")</f>
        <v>Situs prototipe: https://he-eppat.vercel.app/  ·  Buka daftar prototipe kelompok ini</v>
      </c>
      <c r="B3" s="9"/>
      <c r="C3" s="9"/>
      <c r="D3" s="9"/>
      <c r="E3" s="9"/>
      <c r="F3" s="9"/>
    </row>
    <row r="4" ht="30" customHeight="1" spans="1:13" x14ac:dyDescent="0.25">
      <c r="A4" s="4" t="s">
        <v>3</v>
      </c>
      <c r="B4" s="4" t="s">
        <v>517</v>
      </c>
      <c r="C4" s="4" t="s">
        <v>1093</v>
      </c>
      <c r="D4" s="4" t="s">
        <v>1094</v>
      </c>
      <c r="E4" s="4" t="s">
        <v>521</v>
      </c>
      <c r="F4" s="4" t="s">
        <v>1095</v>
      </c>
      <c r="G4" s="4" t="s">
        <v>525</v>
      </c>
      <c r="H4" s="4" t="s">
        <v>526</v>
      </c>
      <c r="I4" s="4" t="s">
        <v>8</v>
      </c>
      <c r="J4" s="4" t="s">
        <v>527</v>
      </c>
      <c r="K4" s="4" t="s">
        <v>528</v>
      </c>
      <c r="L4" s="4" t="s">
        <v>529</v>
      </c>
      <c r="M4" s="4" t="s">
        <v>530</v>
      </c>
    </row>
    <row r="5" spans="1:13" x14ac:dyDescent="0.25">
      <c r="A5" s="10">
        <v>1</v>
      </c>
      <c r="B5" s="11" t="s">
        <v>1570</v>
      </c>
      <c r="C5" s="10" t="s">
        <v>1571</v>
      </c>
      <c r="D5" s="10" t="s">
        <v>1572</v>
      </c>
      <c r="E5" s="10" t="s">
        <v>1573</v>
      </c>
      <c r="F5" s="10" t="s">
        <v>1574</v>
      </c>
      <c r="G5" s="10" t="s">
        <v>567</v>
      </c>
      <c r="H5" s="10" t="s">
        <v>1575</v>
      </c>
      <c r="I5" s="10" t="str">
        <f>HYPERLINK("https://he-eppat.vercel.app/Backlog-IDDS-OB-MASUK-Prototype.html","https://he-eppat.vercel.app/Backlog-IDDS-OB-MASUK-Prototype.html")</f>
        <v>https://he-eppat.vercel.app/Backlog-IDDS-OB-MASUK-Prototype.html</v>
      </c>
      <c r="J5" s="10" t="s">
        <v>1576</v>
      </c>
      <c r="K5" s="12" t="s">
        <v>541</v>
      </c>
      <c r="L5" s="12" t="s">
        <v>27</v>
      </c>
      <c r="M5" s="13">
        <v>46321</v>
      </c>
    </row>
    <row r="6" spans="1:13" x14ac:dyDescent="0.25">
      <c r="A6" s="14">
        <v>2</v>
      </c>
      <c r="B6" s="15" t="s">
        <v>1577</v>
      </c>
      <c r="C6" s="14" t="s">
        <v>1571</v>
      </c>
      <c r="D6" s="14" t="s">
        <v>1578</v>
      </c>
      <c r="E6" s="14" t="s">
        <v>1579</v>
      </c>
      <c r="F6" s="14" t="s">
        <v>1580</v>
      </c>
      <c r="G6" s="14" t="s">
        <v>567</v>
      </c>
      <c r="H6" s="14" t="s">
        <v>1575</v>
      </c>
      <c r="I6" s="14" t="str">
        <f>HYPERLINK("https://he-eppat.vercel.app/Backlog-IDDS-OB-MASUK-Prototype.html","https://he-eppat.vercel.app/Backlog-IDDS-OB-MASUK-Prototype.html")</f>
        <v>https://he-eppat.vercel.app/Backlog-IDDS-OB-MASUK-Prototype.html</v>
      </c>
      <c r="J6" s="14" t="s">
        <v>1581</v>
      </c>
      <c r="K6" s="12" t="s">
        <v>541</v>
      </c>
      <c r="L6" s="12" t="s">
        <v>27</v>
      </c>
      <c r="M6" s="16">
        <v>46321</v>
      </c>
    </row>
    <row r="7" spans="1:13" x14ac:dyDescent="0.25">
      <c r="A7" s="10">
        <v>3</v>
      </c>
      <c r="B7" s="11" t="s">
        <v>1582</v>
      </c>
      <c r="C7" s="10" t="s">
        <v>1571</v>
      </c>
      <c r="D7" s="10" t="s">
        <v>1583</v>
      </c>
      <c r="E7" s="10" t="s">
        <v>1584</v>
      </c>
      <c r="F7" s="10" t="s">
        <v>1585</v>
      </c>
      <c r="G7" s="10" t="s">
        <v>567</v>
      </c>
      <c r="H7" s="10" t="s">
        <v>1575</v>
      </c>
      <c r="I7" s="10" t="str">
        <f>HYPERLINK("https://he-eppat.vercel.app/Backlog-IDDS-OB-MASUK-Prototype.html","https://he-eppat.vercel.app/Backlog-IDDS-OB-MASUK-Prototype.html")</f>
        <v>https://he-eppat.vercel.app/Backlog-IDDS-OB-MASUK-Prototype.html</v>
      </c>
      <c r="J7" s="10" t="s">
        <v>1586</v>
      </c>
      <c r="K7" s="12" t="s">
        <v>541</v>
      </c>
      <c r="L7" s="12" t="s">
        <v>27</v>
      </c>
      <c r="M7" s="13">
        <v>46321</v>
      </c>
    </row>
    <row r="8" spans="1:13" x14ac:dyDescent="0.25">
      <c r="A8" s="14">
        <v>4</v>
      </c>
      <c r="B8" s="15" t="s">
        <v>1587</v>
      </c>
      <c r="C8" s="14" t="s">
        <v>1571</v>
      </c>
      <c r="D8" s="14" t="s">
        <v>1588</v>
      </c>
      <c r="E8" s="14" t="s">
        <v>1589</v>
      </c>
      <c r="F8" s="14" t="s">
        <v>1590</v>
      </c>
      <c r="G8" s="14" t="s">
        <v>567</v>
      </c>
      <c r="H8" s="14" t="s">
        <v>1575</v>
      </c>
      <c r="I8" s="14" t="str">
        <f>HYPERLINK("https://he-eppat.vercel.app/Backlog-IDDS-OB-MASUK-Prototype.html","https://he-eppat.vercel.app/Backlog-IDDS-OB-MASUK-Prototype.html")</f>
        <v>https://he-eppat.vercel.app/Backlog-IDDS-OB-MASUK-Prototype.html</v>
      </c>
      <c r="J8" s="14" t="s">
        <v>1591</v>
      </c>
      <c r="K8" s="12" t="s">
        <v>541</v>
      </c>
      <c r="L8" s="12" t="s">
        <v>27</v>
      </c>
      <c r="M8" s="16">
        <v>46321</v>
      </c>
    </row>
    <row r="9" spans="1:13" x14ac:dyDescent="0.25">
      <c r="A9" s="10">
        <v>5</v>
      </c>
      <c r="B9" s="11" t="s">
        <v>1592</v>
      </c>
      <c r="C9" s="10" t="s">
        <v>1571</v>
      </c>
      <c r="D9" s="10" t="s">
        <v>1593</v>
      </c>
      <c r="E9" s="10" t="s">
        <v>1594</v>
      </c>
      <c r="F9" s="10" t="s">
        <v>1595</v>
      </c>
      <c r="G9" s="10" t="s">
        <v>567</v>
      </c>
      <c r="H9" s="10" t="s">
        <v>1575</v>
      </c>
      <c r="I9" s="10" t="str">
        <f>HYPERLINK("https://he-eppat.vercel.app/Backlog-IDDS-OB-MASUK-Prototype.html","https://he-eppat.vercel.app/Backlog-IDDS-OB-MASUK-Prototype.html")</f>
        <v>https://he-eppat.vercel.app/Backlog-IDDS-OB-MASUK-Prototype.html</v>
      </c>
      <c r="J9" s="10" t="s">
        <v>1596</v>
      </c>
      <c r="K9" s="12" t="s">
        <v>541</v>
      </c>
      <c r="L9" s="12" t="s">
        <v>27</v>
      </c>
      <c r="M9" s="13">
        <v>46321</v>
      </c>
    </row>
    <row r="10" spans="1:13" x14ac:dyDescent="0.25">
      <c r="A10" s="14">
        <v>6</v>
      </c>
      <c r="B10" s="15" t="s">
        <v>1597</v>
      </c>
      <c r="C10" s="14" t="s">
        <v>1571</v>
      </c>
      <c r="D10" s="14" t="s">
        <v>1598</v>
      </c>
      <c r="E10" s="14" t="s">
        <v>1599</v>
      </c>
      <c r="F10" s="14" t="s">
        <v>1600</v>
      </c>
      <c r="G10" s="14" t="s">
        <v>567</v>
      </c>
      <c r="H10" s="14" t="s">
        <v>1575</v>
      </c>
      <c r="I10" s="14" t="str">
        <f>HYPERLINK("https://he-eppat.vercel.app/Backlog-IDDS-OB-MASUK-Prototype.html","https://he-eppat.vercel.app/Backlog-IDDS-OB-MASUK-Prototype.html")</f>
        <v>https://he-eppat.vercel.app/Backlog-IDDS-OB-MASUK-Prototype.html</v>
      </c>
      <c r="J10" s="14" t="s">
        <v>1601</v>
      </c>
      <c r="K10" s="12" t="s">
        <v>541</v>
      </c>
      <c r="L10" s="12" t="s">
        <v>27</v>
      </c>
      <c r="M10" s="16">
        <v>46321</v>
      </c>
    </row>
    <row r="11" spans="1:13" x14ac:dyDescent="0.25">
      <c r="A11" s="10">
        <v>7</v>
      </c>
      <c r="B11" s="11" t="s">
        <v>1602</v>
      </c>
      <c r="C11" s="10" t="s">
        <v>1571</v>
      </c>
      <c r="D11" s="10" t="s">
        <v>1603</v>
      </c>
      <c r="E11" s="10" t="s">
        <v>1604</v>
      </c>
      <c r="F11" s="10" t="s">
        <v>1605</v>
      </c>
      <c r="G11" s="10" t="s">
        <v>567</v>
      </c>
      <c r="H11" s="10" t="s">
        <v>1575</v>
      </c>
      <c r="I11" s="10" t="str">
        <f>HYPERLINK("https://he-eppat.vercel.app/Backlog-IDDS-OB-MASUK-Prototype.html","https://he-eppat.vercel.app/Backlog-IDDS-OB-MASUK-Prototype.html")</f>
        <v>https://he-eppat.vercel.app/Backlog-IDDS-OB-MASUK-Prototype.html</v>
      </c>
      <c r="J11" s="10" t="s">
        <v>1606</v>
      </c>
      <c r="K11" s="12" t="s">
        <v>541</v>
      </c>
      <c r="L11" s="12" t="s">
        <v>27</v>
      </c>
      <c r="M11" s="13">
        <v>46321</v>
      </c>
    </row>
    <row r="12" spans="1:13" x14ac:dyDescent="0.25">
      <c r="A12" s="14">
        <v>8</v>
      </c>
      <c r="B12" s="15" t="s">
        <v>1607</v>
      </c>
      <c r="C12" s="14" t="s">
        <v>1571</v>
      </c>
      <c r="D12" s="14" t="s">
        <v>1608</v>
      </c>
      <c r="E12" s="14" t="s">
        <v>1609</v>
      </c>
      <c r="F12" s="14" t="s">
        <v>1610</v>
      </c>
      <c r="G12" s="14" t="s">
        <v>567</v>
      </c>
      <c r="H12" s="14" t="s">
        <v>1575</v>
      </c>
      <c r="I12" s="14" t="str">
        <f>HYPERLINK("https://he-eppat.vercel.app/Backlog-IDDS-OB-MASUK-Prototype.html","https://he-eppat.vercel.app/Backlog-IDDS-OB-MASUK-Prototype.html")</f>
        <v>https://he-eppat.vercel.app/Backlog-IDDS-OB-MASUK-Prototype.html</v>
      </c>
      <c r="J12" s="14" t="s">
        <v>1611</v>
      </c>
      <c r="K12" s="12" t="s">
        <v>541</v>
      </c>
      <c r="L12" s="12" t="s">
        <v>27</v>
      </c>
      <c r="M12" s="16">
        <v>46321</v>
      </c>
    </row>
    <row r="13" spans="1:13" x14ac:dyDescent="0.25">
      <c r="A13" s="10">
        <v>9</v>
      </c>
      <c r="B13" s="11" t="s">
        <v>1612</v>
      </c>
      <c r="C13" s="10" t="s">
        <v>1571</v>
      </c>
      <c r="D13" s="10" t="s">
        <v>1613</v>
      </c>
      <c r="E13" s="10" t="s">
        <v>1614</v>
      </c>
      <c r="F13" s="10" t="s">
        <v>1615</v>
      </c>
      <c r="G13" s="10" t="s">
        <v>567</v>
      </c>
      <c r="H13" s="10" t="s">
        <v>1575</v>
      </c>
      <c r="I13" s="10" t="str">
        <f>HYPERLINK("https://he-eppat.vercel.app/Backlog-IDDS-OB-MASUK-Prototype.html","https://he-eppat.vercel.app/Backlog-IDDS-OB-MASUK-Prototype.html")</f>
        <v>https://he-eppat.vercel.app/Backlog-IDDS-OB-MASUK-Prototype.html</v>
      </c>
      <c r="J13" s="10" t="s">
        <v>1616</v>
      </c>
      <c r="K13" s="12" t="s">
        <v>541</v>
      </c>
      <c r="L13" s="12" t="s">
        <v>27</v>
      </c>
      <c r="M13" s="13">
        <v>46321</v>
      </c>
    </row>
    <row r="14" spans="1:13" x14ac:dyDescent="0.25">
      <c r="A14" s="14">
        <v>10</v>
      </c>
      <c r="B14" s="15" t="s">
        <v>1617</v>
      </c>
      <c r="C14" s="14" t="s">
        <v>1571</v>
      </c>
      <c r="D14" s="14" t="s">
        <v>1618</v>
      </c>
      <c r="E14" s="14" t="s">
        <v>1619</v>
      </c>
      <c r="F14" s="14" t="s">
        <v>1620</v>
      </c>
      <c r="G14" s="14" t="s">
        <v>567</v>
      </c>
      <c r="H14" s="14" t="s">
        <v>1575</v>
      </c>
      <c r="I14" s="14" t="str">
        <f>HYPERLINK("https://he-eppat.vercel.app/Backlog-IDDS-OB-MASUK-Prototype.html","https://he-eppat.vercel.app/Backlog-IDDS-OB-MASUK-Prototype.html")</f>
        <v>https://he-eppat.vercel.app/Backlog-IDDS-OB-MASUK-Prototype.html</v>
      </c>
      <c r="J14" s="14" t="s">
        <v>1621</v>
      </c>
      <c r="K14" s="12" t="s">
        <v>541</v>
      </c>
      <c r="L14" s="12" t="s">
        <v>27</v>
      </c>
      <c r="M14" s="16">
        <v>46321</v>
      </c>
    </row>
    <row r="15" spans="1:13" x14ac:dyDescent="0.25">
      <c r="A15" s="10">
        <v>11</v>
      </c>
      <c r="B15" s="11" t="s">
        <v>1622</v>
      </c>
      <c r="C15" s="10" t="s">
        <v>1623</v>
      </c>
      <c r="D15" s="10" t="s">
        <v>1624</v>
      </c>
      <c r="E15" s="10" t="s">
        <v>1625</v>
      </c>
      <c r="F15" s="10" t="s">
        <v>1626</v>
      </c>
      <c r="G15" s="10" t="s">
        <v>567</v>
      </c>
      <c r="H15" s="10" t="s">
        <v>1627</v>
      </c>
      <c r="I15" s="10" t="str">
        <f>HYPERLINK("https://he-eppat.vercel.app/Backlog-IDDS-OB-MONITOR-Prototype.html","https://he-eppat.vercel.app/Backlog-IDDS-OB-MONITOR-Prototype.html")</f>
        <v>https://he-eppat.vercel.app/Backlog-IDDS-OB-MONITOR-Prototype.html</v>
      </c>
      <c r="J15" s="10" t="s">
        <v>1628</v>
      </c>
      <c r="K15" s="12" t="s">
        <v>541</v>
      </c>
      <c r="L15" s="12" t="s">
        <v>27</v>
      </c>
      <c r="M15" s="13">
        <v>46321</v>
      </c>
    </row>
    <row r="16" spans="1:13" x14ac:dyDescent="0.25">
      <c r="A16" s="14">
        <v>12</v>
      </c>
      <c r="B16" s="15" t="s">
        <v>1629</v>
      </c>
      <c r="C16" s="14" t="s">
        <v>1623</v>
      </c>
      <c r="D16" s="14" t="s">
        <v>1630</v>
      </c>
      <c r="E16" s="14" t="s">
        <v>1631</v>
      </c>
      <c r="F16" s="14" t="s">
        <v>1632</v>
      </c>
      <c r="G16" s="14" t="s">
        <v>567</v>
      </c>
      <c r="H16" s="14" t="s">
        <v>1627</v>
      </c>
      <c r="I16" s="14" t="str">
        <f>HYPERLINK("https://he-eppat.vercel.app/Backlog-IDDS-OB-MONITOR-Prototype.html","https://he-eppat.vercel.app/Backlog-IDDS-OB-MONITOR-Prototype.html")</f>
        <v>https://he-eppat.vercel.app/Backlog-IDDS-OB-MONITOR-Prototype.html</v>
      </c>
      <c r="J16" s="14" t="s">
        <v>1633</v>
      </c>
      <c r="K16" s="12" t="s">
        <v>541</v>
      </c>
      <c r="L16" s="12" t="s">
        <v>27</v>
      </c>
      <c r="M16" s="16">
        <v>46321</v>
      </c>
    </row>
    <row r="17" spans="1:13" x14ac:dyDescent="0.25">
      <c r="A17" s="10">
        <v>13</v>
      </c>
      <c r="B17" s="11" t="s">
        <v>1634</v>
      </c>
      <c r="C17" s="10" t="s">
        <v>1623</v>
      </c>
      <c r="D17" s="10" t="s">
        <v>1635</v>
      </c>
      <c r="E17" s="10" t="s">
        <v>1636</v>
      </c>
      <c r="F17" s="10" t="s">
        <v>1637</v>
      </c>
      <c r="G17" s="10" t="s">
        <v>567</v>
      </c>
      <c r="H17" s="10" t="s">
        <v>1627</v>
      </c>
      <c r="I17" s="10" t="str">
        <f>HYPERLINK("https://he-eppat.vercel.app/Backlog-IDDS-OB-MONITOR-Prototype.html","https://he-eppat.vercel.app/Backlog-IDDS-OB-MONITOR-Prototype.html")</f>
        <v>https://he-eppat.vercel.app/Backlog-IDDS-OB-MONITOR-Prototype.html</v>
      </c>
      <c r="J17" s="10" t="s">
        <v>1638</v>
      </c>
      <c r="K17" s="12" t="s">
        <v>541</v>
      </c>
      <c r="L17" s="12" t="s">
        <v>27</v>
      </c>
      <c r="M17" s="13">
        <v>46321</v>
      </c>
    </row>
    <row r="18" spans="1:13" x14ac:dyDescent="0.25">
      <c r="A18" s="14">
        <v>14</v>
      </c>
      <c r="B18" s="15" t="s">
        <v>1639</v>
      </c>
      <c r="C18" s="14" t="s">
        <v>1623</v>
      </c>
      <c r="D18" s="14" t="s">
        <v>1640</v>
      </c>
      <c r="E18" s="14" t="s">
        <v>1641</v>
      </c>
      <c r="F18" s="14" t="s">
        <v>1642</v>
      </c>
      <c r="G18" s="14" t="s">
        <v>567</v>
      </c>
      <c r="H18" s="14" t="s">
        <v>1627</v>
      </c>
      <c r="I18" s="14" t="str">
        <f>HYPERLINK("https://he-eppat.vercel.app/Backlog-IDDS-OB-MONITOR-Prototype.html","https://he-eppat.vercel.app/Backlog-IDDS-OB-MONITOR-Prototype.html")</f>
        <v>https://he-eppat.vercel.app/Backlog-IDDS-OB-MONITOR-Prototype.html</v>
      </c>
      <c r="J18" s="14" t="s">
        <v>1643</v>
      </c>
      <c r="K18" s="12" t="s">
        <v>541</v>
      </c>
      <c r="L18" s="12" t="s">
        <v>27</v>
      </c>
      <c r="M18" s="16">
        <v>46321</v>
      </c>
    </row>
    <row r="19" spans="1:13" x14ac:dyDescent="0.25">
      <c r="A19" s="10">
        <v>15</v>
      </c>
      <c r="B19" s="11" t="s">
        <v>1644</v>
      </c>
      <c r="C19" s="10" t="s">
        <v>1623</v>
      </c>
      <c r="D19" s="10" t="s">
        <v>1645</v>
      </c>
      <c r="E19" s="10" t="s">
        <v>1646</v>
      </c>
      <c r="F19" s="10" t="s">
        <v>1647</v>
      </c>
      <c r="G19" s="10" t="s">
        <v>567</v>
      </c>
      <c r="H19" s="10" t="s">
        <v>1627</v>
      </c>
      <c r="I19" s="10" t="str">
        <f>HYPERLINK("https://he-eppat.vercel.app/Backlog-IDDS-OB-MONITOR-Prototype.html","https://he-eppat.vercel.app/Backlog-IDDS-OB-MONITOR-Prototype.html")</f>
        <v>https://he-eppat.vercel.app/Backlog-IDDS-OB-MONITOR-Prototype.html</v>
      </c>
      <c r="J19" s="10" t="s">
        <v>1648</v>
      </c>
      <c r="K19" s="12" t="s">
        <v>541</v>
      </c>
      <c r="L19" s="12" t="s">
        <v>27</v>
      </c>
      <c r="M19" s="13">
        <v>46321</v>
      </c>
    </row>
    <row r="20" spans="1:13" x14ac:dyDescent="0.25">
      <c r="A20" s="14">
        <v>16</v>
      </c>
      <c r="B20" s="15" t="s">
        <v>1649</v>
      </c>
      <c r="C20" s="14" t="s">
        <v>1623</v>
      </c>
      <c r="D20" s="14" t="s">
        <v>1650</v>
      </c>
      <c r="E20" s="14" t="s">
        <v>1651</v>
      </c>
      <c r="F20" s="14" t="s">
        <v>1652</v>
      </c>
      <c r="G20" s="14" t="s">
        <v>567</v>
      </c>
      <c r="H20" s="14" t="s">
        <v>1627</v>
      </c>
      <c r="I20" s="14" t="str">
        <f>HYPERLINK("https://he-eppat.vercel.app/Backlog-IDDS-OB-MONITOR-Prototype.html","https://he-eppat.vercel.app/Backlog-IDDS-OB-MONITOR-Prototype.html")</f>
        <v>https://he-eppat.vercel.app/Backlog-IDDS-OB-MONITOR-Prototype.html</v>
      </c>
      <c r="J20" s="14" t="s">
        <v>1653</v>
      </c>
      <c r="K20" s="12" t="s">
        <v>541</v>
      </c>
      <c r="L20" s="12" t="s">
        <v>27</v>
      </c>
      <c r="M20" s="16">
        <v>46321</v>
      </c>
    </row>
    <row r="21" spans="1:13" x14ac:dyDescent="0.25">
      <c r="A21" s="10">
        <v>17</v>
      </c>
      <c r="B21" s="11" t="s">
        <v>1654</v>
      </c>
      <c r="C21" s="10" t="s">
        <v>1623</v>
      </c>
      <c r="D21" s="10" t="s">
        <v>1655</v>
      </c>
      <c r="E21" s="10" t="s">
        <v>1656</v>
      </c>
      <c r="F21" s="10" t="s">
        <v>1657</v>
      </c>
      <c r="G21" s="10" t="s">
        <v>567</v>
      </c>
      <c r="H21" s="10" t="s">
        <v>1627</v>
      </c>
      <c r="I21" s="10" t="str">
        <f>HYPERLINK("https://he-eppat.vercel.app/Backlog-IDDS-OB-MONITOR-Prototype.html","https://he-eppat.vercel.app/Backlog-IDDS-OB-MONITOR-Prototype.html")</f>
        <v>https://he-eppat.vercel.app/Backlog-IDDS-OB-MONITOR-Prototype.html</v>
      </c>
      <c r="J21" s="10" t="s">
        <v>1658</v>
      </c>
      <c r="K21" s="12" t="s">
        <v>541</v>
      </c>
      <c r="L21" s="12" t="s">
        <v>27</v>
      </c>
      <c r="M21" s="13">
        <v>46321</v>
      </c>
    </row>
    <row r="22" spans="1:13" x14ac:dyDescent="0.25">
      <c r="A22" s="14">
        <v>18</v>
      </c>
      <c r="B22" s="15" t="s">
        <v>1659</v>
      </c>
      <c r="C22" s="14" t="s">
        <v>1623</v>
      </c>
      <c r="D22" s="14" t="s">
        <v>1660</v>
      </c>
      <c r="E22" s="14" t="s">
        <v>1661</v>
      </c>
      <c r="F22" s="14" t="s">
        <v>1662</v>
      </c>
      <c r="G22" s="14" t="s">
        <v>567</v>
      </c>
      <c r="H22" s="14" t="s">
        <v>1627</v>
      </c>
      <c r="I22" s="14" t="str">
        <f>HYPERLINK("https://he-eppat.vercel.app/Backlog-IDDS-OB-MONITOR-Prototype.html","https://he-eppat.vercel.app/Backlog-IDDS-OB-MONITOR-Prototype.html")</f>
        <v>https://he-eppat.vercel.app/Backlog-IDDS-OB-MONITOR-Prototype.html</v>
      </c>
      <c r="J22" s="14" t="s">
        <v>1663</v>
      </c>
      <c r="K22" s="12" t="s">
        <v>541</v>
      </c>
      <c r="L22" s="12" t="s">
        <v>27</v>
      </c>
      <c r="M22" s="16">
        <v>46321</v>
      </c>
    </row>
    <row r="23" spans="1:13" x14ac:dyDescent="0.25">
      <c r="A23" s="10">
        <v>19</v>
      </c>
      <c r="B23" s="11" t="s">
        <v>1664</v>
      </c>
      <c r="C23" s="10" t="s">
        <v>1623</v>
      </c>
      <c r="D23" s="10" t="s">
        <v>1665</v>
      </c>
      <c r="E23" s="10" t="s">
        <v>1666</v>
      </c>
      <c r="F23" s="10" t="s">
        <v>1667</v>
      </c>
      <c r="G23" s="10" t="s">
        <v>567</v>
      </c>
      <c r="H23" s="10" t="s">
        <v>1627</v>
      </c>
      <c r="I23" s="10" t="str">
        <f>HYPERLINK("https://he-eppat.vercel.app/Backlog-IDDS-OB-MONITOR-Prototype.html","https://he-eppat.vercel.app/Backlog-IDDS-OB-MONITOR-Prototype.html")</f>
        <v>https://he-eppat.vercel.app/Backlog-IDDS-OB-MONITOR-Prototype.html</v>
      </c>
      <c r="J23" s="10" t="s">
        <v>1668</v>
      </c>
      <c r="K23" s="12" t="s">
        <v>541</v>
      </c>
      <c r="L23" s="12" t="s">
        <v>27</v>
      </c>
      <c r="M23" s="13">
        <v>46321</v>
      </c>
    </row>
    <row r="24" spans="1:13" x14ac:dyDescent="0.25">
      <c r="A24" s="14">
        <v>20</v>
      </c>
      <c r="B24" s="15" t="s">
        <v>1669</v>
      </c>
      <c r="C24" s="14" t="s">
        <v>1623</v>
      </c>
      <c r="D24" s="14" t="s">
        <v>1670</v>
      </c>
      <c r="E24" s="14" t="s">
        <v>1671</v>
      </c>
      <c r="F24" s="14" t="s">
        <v>1672</v>
      </c>
      <c r="G24" s="14" t="s">
        <v>567</v>
      </c>
      <c r="H24" s="14" t="s">
        <v>1627</v>
      </c>
      <c r="I24" s="14" t="str">
        <f>HYPERLINK("https://he-eppat.vercel.app/Backlog-IDDS-OB-MONITOR-Prototype.html","https://he-eppat.vercel.app/Backlog-IDDS-OB-MONITOR-Prototype.html")</f>
        <v>https://he-eppat.vercel.app/Backlog-IDDS-OB-MONITOR-Prototype.html</v>
      </c>
      <c r="J24" s="14" t="s">
        <v>1673</v>
      </c>
      <c r="K24" s="12" t="s">
        <v>541</v>
      </c>
      <c r="L24" s="12" t="s">
        <v>27</v>
      </c>
      <c r="M24" s="16">
        <v>46321</v>
      </c>
    </row>
    <row r="25" spans="1:13" x14ac:dyDescent="0.25">
      <c r="A25" s="10">
        <v>21</v>
      </c>
      <c r="B25" s="11" t="s">
        <v>1674</v>
      </c>
      <c r="C25" s="10" t="s">
        <v>1675</v>
      </c>
      <c r="D25" s="10" t="s">
        <v>1676</v>
      </c>
      <c r="E25" s="10" t="s">
        <v>1677</v>
      </c>
      <c r="F25" s="10" t="s">
        <v>1678</v>
      </c>
      <c r="G25" s="10" t="s">
        <v>567</v>
      </c>
      <c r="H25" s="10" t="s">
        <v>1679</v>
      </c>
      <c r="I25" s="10" t="str">
        <f>HYPERLINK("https://he-eppat.vercel.app/Backlog-IDDS-OB-VERIF-Prototype.html","https://he-eppat.vercel.app/Backlog-IDDS-OB-VERIF-Prototype.html")</f>
        <v>https://he-eppat.vercel.app/Backlog-IDDS-OB-VERIF-Prototype.html</v>
      </c>
      <c r="J25" s="10" t="s">
        <v>1680</v>
      </c>
      <c r="K25" s="12" t="s">
        <v>541</v>
      </c>
      <c r="L25" s="12" t="s">
        <v>27</v>
      </c>
      <c r="M25" s="13">
        <v>46321</v>
      </c>
    </row>
    <row r="26" spans="1:13" x14ac:dyDescent="0.25">
      <c r="A26" s="14">
        <v>22</v>
      </c>
      <c r="B26" s="15" t="s">
        <v>1681</v>
      </c>
      <c r="C26" s="14" t="s">
        <v>1675</v>
      </c>
      <c r="D26" s="14" t="s">
        <v>1682</v>
      </c>
      <c r="E26" s="14" t="s">
        <v>1683</v>
      </c>
      <c r="F26" s="14" t="s">
        <v>1684</v>
      </c>
      <c r="G26" s="14" t="s">
        <v>567</v>
      </c>
      <c r="H26" s="14" t="s">
        <v>1679</v>
      </c>
      <c r="I26" s="14" t="str">
        <f>HYPERLINK("https://he-eppat.vercel.app/Backlog-IDDS-OB-VERIF-Prototype.html","https://he-eppat.vercel.app/Backlog-IDDS-OB-VERIF-Prototype.html")</f>
        <v>https://he-eppat.vercel.app/Backlog-IDDS-OB-VERIF-Prototype.html</v>
      </c>
      <c r="J26" s="14" t="s">
        <v>1685</v>
      </c>
      <c r="K26" s="12" t="s">
        <v>541</v>
      </c>
      <c r="L26" s="12" t="s">
        <v>27</v>
      </c>
      <c r="M26" s="16">
        <v>46321</v>
      </c>
    </row>
    <row r="27" spans="1:13" x14ac:dyDescent="0.25">
      <c r="A27" s="10">
        <v>23</v>
      </c>
      <c r="B27" s="11" t="s">
        <v>1686</v>
      </c>
      <c r="C27" s="10" t="s">
        <v>1675</v>
      </c>
      <c r="D27" s="10" t="s">
        <v>1687</v>
      </c>
      <c r="E27" s="10" t="s">
        <v>1688</v>
      </c>
      <c r="F27" s="10" t="s">
        <v>1689</v>
      </c>
      <c r="G27" s="10" t="s">
        <v>567</v>
      </c>
      <c r="H27" s="10" t="s">
        <v>1679</v>
      </c>
      <c r="I27" s="10" t="str">
        <f>HYPERLINK("https://he-eppat.vercel.app/Backlog-IDDS-OB-VERIF-Prototype.html","https://he-eppat.vercel.app/Backlog-IDDS-OB-VERIF-Prototype.html")</f>
        <v>https://he-eppat.vercel.app/Backlog-IDDS-OB-VERIF-Prototype.html</v>
      </c>
      <c r="J27" s="10" t="s">
        <v>1690</v>
      </c>
      <c r="K27" s="12" t="s">
        <v>541</v>
      </c>
      <c r="L27" s="12" t="s">
        <v>27</v>
      </c>
      <c r="M27" s="13">
        <v>46321</v>
      </c>
    </row>
    <row r="28" spans="1:13" x14ac:dyDescent="0.25">
      <c r="A28" s="14">
        <v>24</v>
      </c>
      <c r="B28" s="15" t="s">
        <v>1691</v>
      </c>
      <c r="C28" s="14" t="s">
        <v>1675</v>
      </c>
      <c r="D28" s="14" t="s">
        <v>1692</v>
      </c>
      <c r="E28" s="14" t="s">
        <v>1693</v>
      </c>
      <c r="F28" s="14" t="s">
        <v>1694</v>
      </c>
      <c r="G28" s="14" t="s">
        <v>567</v>
      </c>
      <c r="H28" s="14" t="s">
        <v>1679</v>
      </c>
      <c r="I28" s="14" t="str">
        <f>HYPERLINK("https://he-eppat.vercel.app/Backlog-IDDS-OB-VERIF-Prototype.html","https://he-eppat.vercel.app/Backlog-IDDS-OB-VERIF-Prototype.html")</f>
        <v>https://he-eppat.vercel.app/Backlog-IDDS-OB-VERIF-Prototype.html</v>
      </c>
      <c r="J28" s="14" t="s">
        <v>1695</v>
      </c>
      <c r="K28" s="12" t="s">
        <v>541</v>
      </c>
      <c r="L28" s="12" t="s">
        <v>27</v>
      </c>
      <c r="M28" s="16">
        <v>46321</v>
      </c>
    </row>
    <row r="29" spans="1:13" x14ac:dyDescent="0.25">
      <c r="A29" s="10">
        <v>25</v>
      </c>
      <c r="B29" s="11" t="s">
        <v>1696</v>
      </c>
      <c r="C29" s="10" t="s">
        <v>1675</v>
      </c>
      <c r="D29" s="10" t="s">
        <v>1697</v>
      </c>
      <c r="E29" s="10" t="s">
        <v>1698</v>
      </c>
      <c r="F29" s="10" t="s">
        <v>1699</v>
      </c>
      <c r="G29" s="10" t="s">
        <v>567</v>
      </c>
      <c r="H29" s="10" t="s">
        <v>1679</v>
      </c>
      <c r="I29" s="10" t="str">
        <f>HYPERLINK("https://he-eppat.vercel.app/Backlog-IDDS-OB-VERIF-Prototype.html","https://he-eppat.vercel.app/Backlog-IDDS-OB-VERIF-Prototype.html")</f>
        <v>https://he-eppat.vercel.app/Backlog-IDDS-OB-VERIF-Prototype.html</v>
      </c>
      <c r="J29" s="10" t="s">
        <v>1700</v>
      </c>
      <c r="K29" s="12" t="s">
        <v>541</v>
      </c>
      <c r="L29" s="12" t="s">
        <v>27</v>
      </c>
      <c r="M29" s="13">
        <v>46321</v>
      </c>
    </row>
    <row r="30" spans="1:13" x14ac:dyDescent="0.25">
      <c r="A30" s="14">
        <v>26</v>
      </c>
      <c r="B30" s="15" t="s">
        <v>1701</v>
      </c>
      <c r="C30" s="14" t="s">
        <v>1675</v>
      </c>
      <c r="D30" s="14" t="s">
        <v>1702</v>
      </c>
      <c r="E30" s="14" t="s">
        <v>1703</v>
      </c>
      <c r="F30" s="14" t="s">
        <v>1704</v>
      </c>
      <c r="G30" s="14" t="s">
        <v>567</v>
      </c>
      <c r="H30" s="14" t="s">
        <v>1679</v>
      </c>
      <c r="I30" s="14" t="str">
        <f>HYPERLINK("https://he-eppat.vercel.app/Backlog-IDDS-OB-VERIF-Prototype.html","https://he-eppat.vercel.app/Backlog-IDDS-OB-VERIF-Prototype.html")</f>
        <v>https://he-eppat.vercel.app/Backlog-IDDS-OB-VERIF-Prototype.html</v>
      </c>
      <c r="J30" s="14" t="s">
        <v>1705</v>
      </c>
      <c r="K30" s="12" t="s">
        <v>541</v>
      </c>
      <c r="L30" s="12" t="s">
        <v>27</v>
      </c>
      <c r="M30" s="16">
        <v>46321</v>
      </c>
    </row>
    <row r="31" spans="1:13" x14ac:dyDescent="0.25">
      <c r="A31" s="10">
        <v>27</v>
      </c>
      <c r="B31" s="11" t="s">
        <v>1706</v>
      </c>
      <c r="C31" s="10" t="s">
        <v>1675</v>
      </c>
      <c r="D31" s="10" t="s">
        <v>1707</v>
      </c>
      <c r="E31" s="10" t="s">
        <v>1708</v>
      </c>
      <c r="F31" s="10" t="s">
        <v>1709</v>
      </c>
      <c r="G31" s="10" t="s">
        <v>567</v>
      </c>
      <c r="H31" s="10" t="s">
        <v>1679</v>
      </c>
      <c r="I31" s="10" t="str">
        <f>HYPERLINK("https://he-eppat.vercel.app/Backlog-IDDS-OB-VERIF-Prototype.html","https://he-eppat.vercel.app/Backlog-IDDS-OB-VERIF-Prototype.html")</f>
        <v>https://he-eppat.vercel.app/Backlog-IDDS-OB-VERIF-Prototype.html</v>
      </c>
      <c r="J31" s="10" t="s">
        <v>1710</v>
      </c>
      <c r="K31" s="12" t="s">
        <v>541</v>
      </c>
      <c r="L31" s="12" t="s">
        <v>27</v>
      </c>
      <c r="M31" s="13">
        <v>46321</v>
      </c>
    </row>
    <row r="32" spans="1:13" x14ac:dyDescent="0.25">
      <c r="A32" s="14">
        <v>28</v>
      </c>
      <c r="B32" s="15" t="s">
        <v>1711</v>
      </c>
      <c r="C32" s="14" t="s">
        <v>1675</v>
      </c>
      <c r="D32" s="14" t="s">
        <v>1712</v>
      </c>
      <c r="E32" s="14" t="s">
        <v>1713</v>
      </c>
      <c r="F32" s="14" t="s">
        <v>1714</v>
      </c>
      <c r="G32" s="14" t="s">
        <v>567</v>
      </c>
      <c r="H32" s="14" t="s">
        <v>1679</v>
      </c>
      <c r="I32" s="14" t="str">
        <f>HYPERLINK("https://he-eppat.vercel.app/Backlog-IDDS-OB-VERIF-Prototype.html","https://he-eppat.vercel.app/Backlog-IDDS-OB-VERIF-Prototype.html")</f>
        <v>https://he-eppat.vercel.app/Backlog-IDDS-OB-VERIF-Prototype.html</v>
      </c>
      <c r="J32" s="14" t="s">
        <v>1715</v>
      </c>
      <c r="K32" s="12" t="s">
        <v>541</v>
      </c>
      <c r="L32" s="12" t="s">
        <v>27</v>
      </c>
      <c r="M32" s="16">
        <v>46321</v>
      </c>
    </row>
    <row r="33" spans="1:13" x14ac:dyDescent="0.25">
      <c r="A33" s="10">
        <v>29</v>
      </c>
      <c r="B33" s="11" t="s">
        <v>1716</v>
      </c>
      <c r="C33" s="10" t="s">
        <v>1675</v>
      </c>
      <c r="D33" s="10" t="s">
        <v>1717</v>
      </c>
      <c r="E33" s="10" t="s">
        <v>1718</v>
      </c>
      <c r="F33" s="10" t="s">
        <v>1719</v>
      </c>
      <c r="G33" s="10" t="s">
        <v>567</v>
      </c>
      <c r="H33" s="10" t="s">
        <v>1679</v>
      </c>
      <c r="I33" s="10" t="str">
        <f>HYPERLINK("https://he-eppat.vercel.app/Backlog-IDDS-OB-VERIF-Prototype.html","https://he-eppat.vercel.app/Backlog-IDDS-OB-VERIF-Prototype.html")</f>
        <v>https://he-eppat.vercel.app/Backlog-IDDS-OB-VERIF-Prototype.html</v>
      </c>
      <c r="J33" s="10" t="s">
        <v>1720</v>
      </c>
      <c r="K33" s="12" t="s">
        <v>541</v>
      </c>
      <c r="L33" s="12" t="s">
        <v>27</v>
      </c>
      <c r="M33" s="13">
        <v>46321</v>
      </c>
    </row>
    <row r="34" spans="1:13" x14ac:dyDescent="0.25">
      <c r="A34" s="14">
        <v>30</v>
      </c>
      <c r="B34" s="15" t="s">
        <v>1721</v>
      </c>
      <c r="C34" s="14" t="s">
        <v>1675</v>
      </c>
      <c r="D34" s="14" t="s">
        <v>1722</v>
      </c>
      <c r="E34" s="14" t="s">
        <v>1671</v>
      </c>
      <c r="F34" s="14" t="s">
        <v>1723</v>
      </c>
      <c r="G34" s="14" t="s">
        <v>567</v>
      </c>
      <c r="H34" s="14" t="s">
        <v>1679</v>
      </c>
      <c r="I34" s="14" t="str">
        <f>HYPERLINK("https://he-eppat.vercel.app/Backlog-IDDS-OB-VERIF-Prototype.html","https://he-eppat.vercel.app/Backlog-IDDS-OB-VERIF-Prototype.html")</f>
        <v>https://he-eppat.vercel.app/Backlog-IDDS-OB-VERIF-Prototype.html</v>
      </c>
      <c r="J34" s="14" t="s">
        <v>1724</v>
      </c>
      <c r="K34" s="12" t="s">
        <v>541</v>
      </c>
      <c r="L34" s="12" t="s">
        <v>27</v>
      </c>
      <c r="M34" s="16">
        <v>46321</v>
      </c>
    </row>
    <row r="35" spans="1:13" x14ac:dyDescent="0.25">
      <c r="A35" s="10">
        <v>31</v>
      </c>
      <c r="B35" s="11" t="s">
        <v>1725</v>
      </c>
      <c r="C35" s="10" t="s">
        <v>1726</v>
      </c>
      <c r="D35" s="10" t="s">
        <v>1727</v>
      </c>
      <c r="E35" s="10" t="s">
        <v>1728</v>
      </c>
      <c r="F35" s="10" t="s">
        <v>1729</v>
      </c>
      <c r="G35" s="10" t="s">
        <v>567</v>
      </c>
      <c r="H35" s="10" t="s">
        <v>1730</v>
      </c>
      <c r="I35" s="10" t="str">
        <f>HYPERLINK("https://he-eppat.vercel.app/Backlog-IDDS-OB-PENGATURAN-Prototype.html","https://he-eppat.vercel.app/Backlog-IDDS-OB-PENGATURAN-Prototype.html")</f>
        <v>https://he-eppat.vercel.app/Backlog-IDDS-OB-PENGATURAN-Prototype.html</v>
      </c>
      <c r="J35" s="10" t="s">
        <v>1731</v>
      </c>
      <c r="K35" s="12" t="s">
        <v>541</v>
      </c>
      <c r="L35" s="12" t="s">
        <v>27</v>
      </c>
      <c r="M35" s="13">
        <v>46321</v>
      </c>
    </row>
    <row r="36" spans="1:13" x14ac:dyDescent="0.25">
      <c r="A36" s="14">
        <v>32</v>
      </c>
      <c r="B36" s="15" t="s">
        <v>1732</v>
      </c>
      <c r="C36" s="14" t="s">
        <v>1726</v>
      </c>
      <c r="D36" s="14" t="s">
        <v>1733</v>
      </c>
      <c r="E36" s="14" t="s">
        <v>1734</v>
      </c>
      <c r="F36" s="14" t="s">
        <v>1735</v>
      </c>
      <c r="G36" s="14" t="s">
        <v>567</v>
      </c>
      <c r="H36" s="14" t="s">
        <v>1730</v>
      </c>
      <c r="I36" s="14" t="str">
        <f>HYPERLINK("https://he-eppat.vercel.app/Backlog-IDDS-OB-PENGATURAN-Prototype.html","https://he-eppat.vercel.app/Backlog-IDDS-OB-PENGATURAN-Prototype.html")</f>
        <v>https://he-eppat.vercel.app/Backlog-IDDS-OB-PENGATURAN-Prototype.html</v>
      </c>
      <c r="J36" s="14" t="s">
        <v>1736</v>
      </c>
      <c r="K36" s="12" t="s">
        <v>541</v>
      </c>
      <c r="L36" s="12" t="s">
        <v>27</v>
      </c>
      <c r="M36" s="16">
        <v>46321</v>
      </c>
    </row>
    <row r="37" spans="1:13" x14ac:dyDescent="0.25">
      <c r="A37" s="10">
        <v>33</v>
      </c>
      <c r="B37" s="11" t="s">
        <v>1737</v>
      </c>
      <c r="C37" s="10" t="s">
        <v>1726</v>
      </c>
      <c r="D37" s="10" t="s">
        <v>1738</v>
      </c>
      <c r="E37" s="10" t="s">
        <v>1739</v>
      </c>
      <c r="F37" s="10" t="s">
        <v>1740</v>
      </c>
      <c r="G37" s="10" t="s">
        <v>567</v>
      </c>
      <c r="H37" s="10" t="s">
        <v>1730</v>
      </c>
      <c r="I37" s="10" t="str">
        <f>HYPERLINK("https://he-eppat.vercel.app/Backlog-IDDS-OB-PENGATURAN-Prototype.html","https://he-eppat.vercel.app/Backlog-IDDS-OB-PENGATURAN-Prototype.html")</f>
        <v>https://he-eppat.vercel.app/Backlog-IDDS-OB-PENGATURAN-Prototype.html</v>
      </c>
      <c r="J37" s="10" t="s">
        <v>1741</v>
      </c>
      <c r="K37" s="12" t="s">
        <v>541</v>
      </c>
      <c r="L37" s="12" t="s">
        <v>27</v>
      </c>
      <c r="M37" s="13">
        <v>46321</v>
      </c>
    </row>
    <row r="38" spans="1:13" x14ac:dyDescent="0.25">
      <c r="A38" s="14">
        <v>34</v>
      </c>
      <c r="B38" s="15" t="s">
        <v>1742</v>
      </c>
      <c r="C38" s="14" t="s">
        <v>1726</v>
      </c>
      <c r="D38" s="14" t="s">
        <v>1743</v>
      </c>
      <c r="E38" s="14" t="s">
        <v>1744</v>
      </c>
      <c r="F38" s="14" t="s">
        <v>1745</v>
      </c>
      <c r="G38" s="14" t="s">
        <v>567</v>
      </c>
      <c r="H38" s="14" t="s">
        <v>1730</v>
      </c>
      <c r="I38" s="14" t="str">
        <f>HYPERLINK("https://he-eppat.vercel.app/Backlog-IDDS-OB-PENGATURAN-Prototype.html","https://he-eppat.vercel.app/Backlog-IDDS-OB-PENGATURAN-Prototype.html")</f>
        <v>https://he-eppat.vercel.app/Backlog-IDDS-OB-PENGATURAN-Prototype.html</v>
      </c>
      <c r="J38" s="14" t="s">
        <v>1746</v>
      </c>
      <c r="K38" s="12" t="s">
        <v>541</v>
      </c>
      <c r="L38" s="12" t="s">
        <v>27</v>
      </c>
      <c r="M38" s="16">
        <v>46321</v>
      </c>
    </row>
    <row r="39" spans="1:13" x14ac:dyDescent="0.25">
      <c r="A39" s="10">
        <v>35</v>
      </c>
      <c r="B39" s="11" t="s">
        <v>1747</v>
      </c>
      <c r="C39" s="10" t="s">
        <v>1726</v>
      </c>
      <c r="D39" s="10" t="s">
        <v>1748</v>
      </c>
      <c r="E39" s="10" t="s">
        <v>1749</v>
      </c>
      <c r="F39" s="10" t="s">
        <v>1750</v>
      </c>
      <c r="G39" s="10" t="s">
        <v>567</v>
      </c>
      <c r="H39" s="10" t="s">
        <v>1730</v>
      </c>
      <c r="I39" s="10" t="str">
        <f>HYPERLINK("https://he-eppat.vercel.app/Backlog-IDDS-OB-PENGATURAN-Prototype.html","https://he-eppat.vercel.app/Backlog-IDDS-OB-PENGATURAN-Prototype.html")</f>
        <v>https://he-eppat.vercel.app/Backlog-IDDS-OB-PENGATURAN-Prototype.html</v>
      </c>
      <c r="J39" s="10" t="s">
        <v>1751</v>
      </c>
      <c r="K39" s="12" t="s">
        <v>541</v>
      </c>
      <c r="L39" s="12" t="s">
        <v>27</v>
      </c>
      <c r="M39" s="13">
        <v>46321</v>
      </c>
    </row>
    <row r="40" spans="1:13" x14ac:dyDescent="0.25">
      <c r="A40" s="14">
        <v>36</v>
      </c>
      <c r="B40" s="15" t="s">
        <v>1752</v>
      </c>
      <c r="C40" s="14" t="s">
        <v>1726</v>
      </c>
      <c r="D40" s="14" t="s">
        <v>1753</v>
      </c>
      <c r="E40" s="14" t="s">
        <v>1754</v>
      </c>
      <c r="F40" s="14" t="s">
        <v>1755</v>
      </c>
      <c r="G40" s="14" t="s">
        <v>567</v>
      </c>
      <c r="H40" s="14" t="s">
        <v>1730</v>
      </c>
      <c r="I40" s="14" t="str">
        <f>HYPERLINK("https://he-eppat.vercel.app/Backlog-IDDS-OB-PENGATURAN-Prototype.html","https://he-eppat.vercel.app/Backlog-IDDS-OB-PENGATURAN-Prototype.html")</f>
        <v>https://he-eppat.vercel.app/Backlog-IDDS-OB-PENGATURAN-Prototype.html</v>
      </c>
      <c r="J40" s="14" t="s">
        <v>1756</v>
      </c>
      <c r="K40" s="12" t="s">
        <v>541</v>
      </c>
      <c r="L40" s="12" t="s">
        <v>27</v>
      </c>
      <c r="M40" s="16">
        <v>46321</v>
      </c>
    </row>
    <row r="41" spans="1:13" x14ac:dyDescent="0.25">
      <c r="A41" s="10">
        <v>37</v>
      </c>
      <c r="B41" s="11" t="s">
        <v>1757</v>
      </c>
      <c r="C41" s="10" t="s">
        <v>1726</v>
      </c>
      <c r="D41" s="10" t="s">
        <v>1758</v>
      </c>
      <c r="E41" s="10" t="s">
        <v>1759</v>
      </c>
      <c r="F41" s="10" t="s">
        <v>1760</v>
      </c>
      <c r="G41" s="10" t="s">
        <v>567</v>
      </c>
      <c r="H41" s="10" t="s">
        <v>1730</v>
      </c>
      <c r="I41" s="10" t="str">
        <f>HYPERLINK("https://he-eppat.vercel.app/Backlog-IDDS-OB-PENGATURAN-Prototype.html","https://he-eppat.vercel.app/Backlog-IDDS-OB-PENGATURAN-Prototype.html")</f>
        <v>https://he-eppat.vercel.app/Backlog-IDDS-OB-PENGATURAN-Prototype.html</v>
      </c>
      <c r="J41" s="10" t="s">
        <v>1761</v>
      </c>
      <c r="K41" s="12" t="s">
        <v>541</v>
      </c>
      <c r="L41" s="12" t="s">
        <v>27</v>
      </c>
      <c r="M41" s="13">
        <v>46321</v>
      </c>
    </row>
    <row r="42" spans="1:13" x14ac:dyDescent="0.25">
      <c r="A42" s="14">
        <v>38</v>
      </c>
      <c r="B42" s="15" t="s">
        <v>1762</v>
      </c>
      <c r="C42" s="14" t="s">
        <v>1726</v>
      </c>
      <c r="D42" s="14" t="s">
        <v>1763</v>
      </c>
      <c r="E42" s="14" t="s">
        <v>1764</v>
      </c>
      <c r="F42" s="14" t="s">
        <v>1765</v>
      </c>
      <c r="G42" s="14" t="s">
        <v>567</v>
      </c>
      <c r="H42" s="14" t="s">
        <v>1730</v>
      </c>
      <c r="I42" s="14" t="str">
        <f>HYPERLINK("https://he-eppat.vercel.app/Backlog-IDDS-OB-PENGATURAN-Prototype.html","https://he-eppat.vercel.app/Backlog-IDDS-OB-PENGATURAN-Prototype.html")</f>
        <v>https://he-eppat.vercel.app/Backlog-IDDS-OB-PENGATURAN-Prototype.html</v>
      </c>
      <c r="J42" s="14" t="s">
        <v>1766</v>
      </c>
      <c r="K42" s="12" t="s">
        <v>541</v>
      </c>
      <c r="L42" s="12" t="s">
        <v>27</v>
      </c>
      <c r="M42" s="16">
        <v>46321</v>
      </c>
    </row>
    <row r="43" spans="1:13" x14ac:dyDescent="0.25">
      <c r="A43" s="10">
        <v>39</v>
      </c>
      <c r="B43" s="11" t="s">
        <v>1767</v>
      </c>
      <c r="C43" s="10" t="s">
        <v>1726</v>
      </c>
      <c r="D43" s="10" t="s">
        <v>1768</v>
      </c>
      <c r="E43" s="10" t="s">
        <v>1769</v>
      </c>
      <c r="F43" s="10" t="s">
        <v>1770</v>
      </c>
      <c r="G43" s="10" t="s">
        <v>567</v>
      </c>
      <c r="H43" s="10" t="s">
        <v>1730</v>
      </c>
      <c r="I43" s="10" t="str">
        <f>HYPERLINK("https://he-eppat.vercel.app/Backlog-IDDS-OB-PENGATURAN-Prototype.html","https://he-eppat.vercel.app/Backlog-IDDS-OB-PENGATURAN-Prototype.html")</f>
        <v>https://he-eppat.vercel.app/Backlog-IDDS-OB-PENGATURAN-Prototype.html</v>
      </c>
      <c r="J43" s="10" t="s">
        <v>1771</v>
      </c>
      <c r="K43" s="12" t="s">
        <v>541</v>
      </c>
      <c r="L43" s="12" t="s">
        <v>27</v>
      </c>
      <c r="M43" s="13">
        <v>46321</v>
      </c>
    </row>
    <row r="44" spans="1:13" x14ac:dyDescent="0.25">
      <c r="A44" s="14">
        <v>40</v>
      </c>
      <c r="B44" s="15" t="s">
        <v>1772</v>
      </c>
      <c r="C44" s="14" t="s">
        <v>1726</v>
      </c>
      <c r="D44" s="14" t="s">
        <v>1773</v>
      </c>
      <c r="E44" s="14" t="s">
        <v>1774</v>
      </c>
      <c r="F44" s="14" t="s">
        <v>1775</v>
      </c>
      <c r="G44" s="14" t="s">
        <v>567</v>
      </c>
      <c r="H44" s="14" t="s">
        <v>1730</v>
      </c>
      <c r="I44" s="14" t="str">
        <f>HYPERLINK("https://he-eppat.vercel.app/Backlog-IDDS-OB-PENGATURAN-Prototype.html","https://he-eppat.vercel.app/Backlog-IDDS-OB-PENGATURAN-Prototype.html")</f>
        <v>https://he-eppat.vercel.app/Backlog-IDDS-OB-PENGATURAN-Prototype.html</v>
      </c>
      <c r="J44" s="14" t="s">
        <v>1776</v>
      </c>
      <c r="K44" s="12" t="s">
        <v>541</v>
      </c>
      <c r="L44" s="12" t="s">
        <v>27</v>
      </c>
      <c r="M44" s="16">
        <v>46321</v>
      </c>
    </row>
    <row r="45" spans="1:13" x14ac:dyDescent="0.25">
      <c r="A45" s="10">
        <v>41</v>
      </c>
      <c r="B45" s="11" t="s">
        <v>1777</v>
      </c>
      <c r="C45" s="10" t="s">
        <v>1726</v>
      </c>
      <c r="D45" s="10" t="s">
        <v>1778</v>
      </c>
      <c r="E45" s="10" t="s">
        <v>1779</v>
      </c>
      <c r="F45" s="10" t="s">
        <v>1780</v>
      </c>
      <c r="G45" s="10" t="s">
        <v>567</v>
      </c>
      <c r="H45" s="10" t="s">
        <v>1730</v>
      </c>
      <c r="I45" s="10" t="str">
        <f>HYPERLINK("https://he-eppat.vercel.app/Backlog-IDDS-OB-PENGATURAN-Prototype.html","https://he-eppat.vercel.app/Backlog-IDDS-OB-PENGATURAN-Prototype.html")</f>
        <v>https://he-eppat.vercel.app/Backlog-IDDS-OB-PENGATURAN-Prototype.html</v>
      </c>
      <c r="J45" s="10" t="s">
        <v>1781</v>
      </c>
      <c r="K45" s="12" t="s">
        <v>541</v>
      </c>
      <c r="L45" s="12" t="s">
        <v>27</v>
      </c>
      <c r="M45" s="13">
        <v>46321</v>
      </c>
    </row>
    <row r="46" spans="1:13" x14ac:dyDescent="0.25">
      <c r="A46" s="14">
        <v>42</v>
      </c>
      <c r="B46" s="15" t="s">
        <v>1782</v>
      </c>
      <c r="C46" s="14" t="s">
        <v>1726</v>
      </c>
      <c r="D46" s="14" t="s">
        <v>1783</v>
      </c>
      <c r="E46" s="14" t="s">
        <v>1784</v>
      </c>
      <c r="F46" s="14" t="s">
        <v>1785</v>
      </c>
      <c r="G46" s="14" t="s">
        <v>567</v>
      </c>
      <c r="H46" s="14" t="s">
        <v>1730</v>
      </c>
      <c r="I46" s="14" t="str">
        <f>HYPERLINK("https://he-eppat.vercel.app/Backlog-IDDS-OB-PENGATURAN-Prototype.html","https://he-eppat.vercel.app/Backlog-IDDS-OB-PENGATURAN-Prototype.html")</f>
        <v>https://he-eppat.vercel.app/Backlog-IDDS-OB-PENGATURAN-Prototype.html</v>
      </c>
      <c r="J46" s="14" t="s">
        <v>1786</v>
      </c>
      <c r="K46" s="12" t="s">
        <v>541</v>
      </c>
      <c r="L46" s="12" t="s">
        <v>27</v>
      </c>
      <c r="M46" s="16">
        <v>46321</v>
      </c>
    </row>
    <row r="47" spans="1:13" x14ac:dyDescent="0.25">
      <c r="A47" s="10">
        <v>43</v>
      </c>
      <c r="B47" s="11" t="s">
        <v>1787</v>
      </c>
      <c r="C47" s="10" t="s">
        <v>1726</v>
      </c>
      <c r="D47" s="10" t="s">
        <v>1788</v>
      </c>
      <c r="E47" s="10" t="s">
        <v>1789</v>
      </c>
      <c r="F47" s="10" t="s">
        <v>1790</v>
      </c>
      <c r="G47" s="10" t="s">
        <v>567</v>
      </c>
      <c r="H47" s="10" t="s">
        <v>1730</v>
      </c>
      <c r="I47" s="10" t="str">
        <f>HYPERLINK("https://he-eppat.vercel.app/Backlog-IDDS-OB-PENGATURAN-Prototype.html","https://he-eppat.vercel.app/Backlog-IDDS-OB-PENGATURAN-Prototype.html")</f>
        <v>https://he-eppat.vercel.app/Backlog-IDDS-OB-PENGATURAN-Prototype.html</v>
      </c>
      <c r="J47" s="10" t="s">
        <v>1791</v>
      </c>
      <c r="K47" s="12" t="s">
        <v>541</v>
      </c>
      <c r="L47" s="12" t="s">
        <v>27</v>
      </c>
      <c r="M47" s="13">
        <v>46321</v>
      </c>
    </row>
    <row r="48" spans="1:13" x14ac:dyDescent="0.25">
      <c r="A48" s="14">
        <v>44</v>
      </c>
      <c r="B48" s="15" t="s">
        <v>1792</v>
      </c>
      <c r="C48" s="14" t="s">
        <v>1726</v>
      </c>
      <c r="D48" s="14" t="s">
        <v>1793</v>
      </c>
      <c r="E48" s="14" t="s">
        <v>1794</v>
      </c>
      <c r="F48" s="14" t="s">
        <v>1795</v>
      </c>
      <c r="G48" s="14" t="s">
        <v>567</v>
      </c>
      <c r="H48" s="14" t="s">
        <v>1730</v>
      </c>
      <c r="I48" s="14" t="str">
        <f>HYPERLINK("https://he-eppat.vercel.app/Backlog-IDDS-OB-PENGATURAN-Prototype.html","https://he-eppat.vercel.app/Backlog-IDDS-OB-PENGATURAN-Prototype.html")</f>
        <v>https://he-eppat.vercel.app/Backlog-IDDS-OB-PENGATURAN-Prototype.html</v>
      </c>
      <c r="J48" s="14" t="s">
        <v>1796</v>
      </c>
      <c r="K48" s="12" t="s">
        <v>541</v>
      </c>
      <c r="L48" s="12" t="s">
        <v>27</v>
      </c>
      <c r="M48" s="16">
        <v>46321</v>
      </c>
    </row>
    <row r="49" spans="1:13" x14ac:dyDescent="0.25">
      <c r="A49" s="10">
        <v>45</v>
      </c>
      <c r="B49" s="11" t="s">
        <v>1797</v>
      </c>
      <c r="C49" s="10" t="s">
        <v>1726</v>
      </c>
      <c r="D49" s="10" t="s">
        <v>1798</v>
      </c>
      <c r="E49" s="10" t="s">
        <v>1799</v>
      </c>
      <c r="F49" s="10" t="s">
        <v>1800</v>
      </c>
      <c r="G49" s="10" t="s">
        <v>567</v>
      </c>
      <c r="H49" s="10" t="s">
        <v>1730</v>
      </c>
      <c r="I49" s="10" t="str">
        <f>HYPERLINK("https://he-eppat.vercel.app/Backlog-IDDS-OB-PENGATURAN-Prototype.html","https://he-eppat.vercel.app/Backlog-IDDS-OB-PENGATURAN-Prototype.html")</f>
        <v>https://he-eppat.vercel.app/Backlog-IDDS-OB-PENGATURAN-Prototype.html</v>
      </c>
      <c r="J49" s="10" t="s">
        <v>1801</v>
      </c>
      <c r="K49" s="12" t="s">
        <v>541</v>
      </c>
      <c r="L49" s="12" t="s">
        <v>27</v>
      </c>
      <c r="M49" s="13">
        <v>46321</v>
      </c>
    </row>
    <row r="50" spans="1:13" x14ac:dyDescent="0.25">
      <c r="A50" s="14">
        <v>46</v>
      </c>
      <c r="B50" s="15" t="s">
        <v>1802</v>
      </c>
      <c r="C50" s="14" t="s">
        <v>1803</v>
      </c>
      <c r="D50" s="14" t="s">
        <v>1804</v>
      </c>
      <c r="E50" s="14" t="s">
        <v>1805</v>
      </c>
      <c r="F50" s="14" t="s">
        <v>1806</v>
      </c>
      <c r="G50" s="14" t="s">
        <v>567</v>
      </c>
      <c r="H50" s="14" t="s">
        <v>1807</v>
      </c>
      <c r="I50" s="14" t="str">
        <f>HYPERLINK("https://he-eppat.vercel.app/Backlog-IDDS-OB-BAYAR-Prototype.html","https://he-eppat.vercel.app/Backlog-IDDS-OB-BAYAR-Prototype.html")</f>
        <v>https://he-eppat.vercel.app/Backlog-IDDS-OB-BAYAR-Prototype.html</v>
      </c>
      <c r="J50" s="14" t="s">
        <v>1808</v>
      </c>
      <c r="K50" s="12" t="s">
        <v>541</v>
      </c>
      <c r="L50" s="12" t="s">
        <v>27</v>
      </c>
      <c r="M50" s="16">
        <v>46321</v>
      </c>
    </row>
    <row r="51" spans="1:13" x14ac:dyDescent="0.25">
      <c r="A51" s="10">
        <v>47</v>
      </c>
      <c r="B51" s="11" t="s">
        <v>1809</v>
      </c>
      <c r="C51" s="10" t="s">
        <v>1803</v>
      </c>
      <c r="D51" s="10" t="s">
        <v>1810</v>
      </c>
      <c r="E51" s="10" t="s">
        <v>1811</v>
      </c>
      <c r="F51" s="10" t="s">
        <v>1812</v>
      </c>
      <c r="G51" s="10" t="s">
        <v>567</v>
      </c>
      <c r="H51" s="10" t="s">
        <v>1807</v>
      </c>
      <c r="I51" s="10" t="str">
        <f>HYPERLINK("https://he-eppat.vercel.app/Backlog-IDDS-OB-BAYAR-Prototype.html","https://he-eppat.vercel.app/Backlog-IDDS-OB-BAYAR-Prototype.html")</f>
        <v>https://he-eppat.vercel.app/Backlog-IDDS-OB-BAYAR-Prototype.html</v>
      </c>
      <c r="J51" s="10" t="s">
        <v>1813</v>
      </c>
      <c r="K51" s="12" t="s">
        <v>541</v>
      </c>
      <c r="L51" s="12" t="s">
        <v>27</v>
      </c>
      <c r="M51" s="13">
        <v>46321</v>
      </c>
    </row>
    <row r="52" spans="1:13" x14ac:dyDescent="0.25">
      <c r="A52" s="14">
        <v>48</v>
      </c>
      <c r="B52" s="15" t="s">
        <v>1814</v>
      </c>
      <c r="C52" s="14" t="s">
        <v>1803</v>
      </c>
      <c r="D52" s="14" t="s">
        <v>1815</v>
      </c>
      <c r="E52" s="14" t="s">
        <v>1816</v>
      </c>
      <c r="F52" s="14" t="s">
        <v>1817</v>
      </c>
      <c r="G52" s="14" t="s">
        <v>567</v>
      </c>
      <c r="H52" s="14" t="s">
        <v>1807</v>
      </c>
      <c r="I52" s="14" t="str">
        <f>HYPERLINK("https://he-eppat.vercel.app/Backlog-IDDS-OB-BAYAR-Prototype.html","https://he-eppat.vercel.app/Backlog-IDDS-OB-BAYAR-Prototype.html")</f>
        <v>https://he-eppat.vercel.app/Backlog-IDDS-OB-BAYAR-Prototype.html</v>
      </c>
      <c r="J52" s="14" t="s">
        <v>1818</v>
      </c>
      <c r="K52" s="12" t="s">
        <v>541</v>
      </c>
      <c r="L52" s="12" t="s">
        <v>27</v>
      </c>
      <c r="M52" s="16">
        <v>46321</v>
      </c>
    </row>
    <row r="53" spans="1:13" x14ac:dyDescent="0.25">
      <c r="A53" s="10">
        <v>49</v>
      </c>
      <c r="B53" s="11" t="s">
        <v>1819</v>
      </c>
      <c r="C53" s="10" t="s">
        <v>1803</v>
      </c>
      <c r="D53" s="10" t="s">
        <v>1820</v>
      </c>
      <c r="E53" s="10" t="s">
        <v>1821</v>
      </c>
      <c r="F53" s="10" t="s">
        <v>1822</v>
      </c>
      <c r="G53" s="10" t="s">
        <v>567</v>
      </c>
      <c r="H53" s="10" t="s">
        <v>1807</v>
      </c>
      <c r="I53" s="10" t="str">
        <f>HYPERLINK("https://he-eppat.vercel.app/Backlog-IDDS-OB-BAYAR-Prototype.html","https://he-eppat.vercel.app/Backlog-IDDS-OB-BAYAR-Prototype.html")</f>
        <v>https://he-eppat.vercel.app/Backlog-IDDS-OB-BAYAR-Prototype.html</v>
      </c>
      <c r="J53" s="10" t="s">
        <v>1823</v>
      </c>
      <c r="K53" s="12" t="s">
        <v>541</v>
      </c>
      <c r="L53" s="12" t="s">
        <v>27</v>
      </c>
      <c r="M53" s="13">
        <v>46321</v>
      </c>
    </row>
    <row r="54" spans="1:13" x14ac:dyDescent="0.25">
      <c r="A54" s="14">
        <v>50</v>
      </c>
      <c r="B54" s="15" t="s">
        <v>1824</v>
      </c>
      <c r="C54" s="14" t="s">
        <v>1803</v>
      </c>
      <c r="D54" s="14" t="s">
        <v>1825</v>
      </c>
      <c r="E54" s="14" t="s">
        <v>1826</v>
      </c>
      <c r="F54" s="14" t="s">
        <v>1827</v>
      </c>
      <c r="G54" s="14" t="s">
        <v>567</v>
      </c>
      <c r="H54" s="14" t="s">
        <v>1807</v>
      </c>
      <c r="I54" s="14" t="str">
        <f>HYPERLINK("https://he-eppat.vercel.app/Backlog-IDDS-OB-BAYAR-Prototype.html","https://he-eppat.vercel.app/Backlog-IDDS-OB-BAYAR-Prototype.html")</f>
        <v>https://he-eppat.vercel.app/Backlog-IDDS-OB-BAYAR-Prototype.html</v>
      </c>
      <c r="J54" s="14" t="s">
        <v>1828</v>
      </c>
      <c r="K54" s="12" t="s">
        <v>541</v>
      </c>
      <c r="L54" s="12" t="s">
        <v>27</v>
      </c>
      <c r="M54" s="16">
        <v>46321</v>
      </c>
    </row>
    <row r="55" spans="1:13" x14ac:dyDescent="0.25">
      <c r="A55" s="10">
        <v>51</v>
      </c>
      <c r="B55" s="11" t="s">
        <v>1829</v>
      </c>
      <c r="C55" s="10" t="s">
        <v>1803</v>
      </c>
      <c r="D55" s="10" t="s">
        <v>1830</v>
      </c>
      <c r="E55" s="10" t="s">
        <v>1831</v>
      </c>
      <c r="F55" s="10" t="s">
        <v>1832</v>
      </c>
      <c r="G55" s="10" t="s">
        <v>567</v>
      </c>
      <c r="H55" s="10" t="s">
        <v>1807</v>
      </c>
      <c r="I55" s="10" t="str">
        <f>HYPERLINK("https://he-eppat.vercel.app/Backlog-IDDS-OB-BAYAR-Prototype.html","https://he-eppat.vercel.app/Backlog-IDDS-OB-BAYAR-Prototype.html")</f>
        <v>https://he-eppat.vercel.app/Backlog-IDDS-OB-BAYAR-Prototype.html</v>
      </c>
      <c r="J55" s="10" t="s">
        <v>1833</v>
      </c>
      <c r="K55" s="12" t="s">
        <v>541</v>
      </c>
      <c r="L55" s="12" t="s">
        <v>27</v>
      </c>
      <c r="M55" s="13">
        <v>46321</v>
      </c>
    </row>
    <row r="56" spans="1:13" x14ac:dyDescent="0.25">
      <c r="A56" s="14">
        <v>52</v>
      </c>
      <c r="B56" s="15" t="s">
        <v>1834</v>
      </c>
      <c r="C56" s="14" t="s">
        <v>1803</v>
      </c>
      <c r="D56" s="14" t="s">
        <v>1835</v>
      </c>
      <c r="E56" s="14" t="s">
        <v>1836</v>
      </c>
      <c r="F56" s="14" t="s">
        <v>1837</v>
      </c>
      <c r="G56" s="14" t="s">
        <v>567</v>
      </c>
      <c r="H56" s="14" t="s">
        <v>1807</v>
      </c>
      <c r="I56" s="14" t="str">
        <f>HYPERLINK("https://he-eppat.vercel.app/Backlog-IDDS-OB-BAYAR-Prototype.html","https://he-eppat.vercel.app/Backlog-IDDS-OB-BAYAR-Prototype.html")</f>
        <v>https://he-eppat.vercel.app/Backlog-IDDS-OB-BAYAR-Prototype.html</v>
      </c>
      <c r="J56" s="14" t="s">
        <v>1838</v>
      </c>
      <c r="K56" s="12" t="s">
        <v>541</v>
      </c>
      <c r="L56" s="12" t="s">
        <v>27</v>
      </c>
      <c r="M56" s="16">
        <v>46321</v>
      </c>
    </row>
    <row r="57" spans="1:13" x14ac:dyDescent="0.25">
      <c r="A57" s="10">
        <v>53</v>
      </c>
      <c r="B57" s="11" t="s">
        <v>1839</v>
      </c>
      <c r="C57" s="10" t="s">
        <v>1803</v>
      </c>
      <c r="D57" s="10" t="s">
        <v>1840</v>
      </c>
      <c r="E57" s="10" t="s">
        <v>1841</v>
      </c>
      <c r="F57" s="10" t="s">
        <v>1842</v>
      </c>
      <c r="G57" s="10" t="s">
        <v>567</v>
      </c>
      <c r="H57" s="10" t="s">
        <v>1807</v>
      </c>
      <c r="I57" s="10" t="str">
        <f>HYPERLINK("https://he-eppat.vercel.app/Backlog-IDDS-OB-BAYAR-Prototype.html","https://he-eppat.vercel.app/Backlog-IDDS-OB-BAYAR-Prototype.html")</f>
        <v>https://he-eppat.vercel.app/Backlog-IDDS-OB-BAYAR-Prototype.html</v>
      </c>
      <c r="J57" s="10" t="s">
        <v>1843</v>
      </c>
      <c r="K57" s="12" t="s">
        <v>541</v>
      </c>
      <c r="L57" s="12" t="s">
        <v>27</v>
      </c>
      <c r="M57" s="13">
        <v>46321</v>
      </c>
    </row>
    <row r="58" spans="1:13" x14ac:dyDescent="0.25">
      <c r="A58" s="14">
        <v>54</v>
      </c>
      <c r="B58" s="15" t="s">
        <v>1844</v>
      </c>
      <c r="C58" s="14" t="s">
        <v>1803</v>
      </c>
      <c r="D58" s="14" t="s">
        <v>1845</v>
      </c>
      <c r="E58" s="14" t="s">
        <v>1846</v>
      </c>
      <c r="F58" s="14" t="s">
        <v>1847</v>
      </c>
      <c r="G58" s="14" t="s">
        <v>567</v>
      </c>
      <c r="H58" s="14" t="s">
        <v>1807</v>
      </c>
      <c r="I58" s="14" t="str">
        <f>HYPERLINK("https://he-eppat.vercel.app/Backlog-IDDS-OB-BAYAR-Prototype.html","https://he-eppat.vercel.app/Backlog-IDDS-OB-BAYAR-Prototype.html")</f>
        <v>https://he-eppat.vercel.app/Backlog-IDDS-OB-BAYAR-Prototype.html</v>
      </c>
      <c r="J58" s="14" t="s">
        <v>1848</v>
      </c>
      <c r="K58" s="12" t="s">
        <v>541</v>
      </c>
      <c r="L58" s="12" t="s">
        <v>27</v>
      </c>
      <c r="M58" s="16">
        <v>46321</v>
      </c>
    </row>
    <row r="59" spans="1:13" x14ac:dyDescent="0.25">
      <c r="A59" s="10">
        <v>55</v>
      </c>
      <c r="B59" s="11" t="s">
        <v>1849</v>
      </c>
      <c r="C59" s="10" t="s">
        <v>1803</v>
      </c>
      <c r="D59" s="10" t="s">
        <v>1850</v>
      </c>
      <c r="E59" s="10" t="s">
        <v>1851</v>
      </c>
      <c r="F59" s="10" t="s">
        <v>1852</v>
      </c>
      <c r="G59" s="10" t="s">
        <v>567</v>
      </c>
      <c r="H59" s="10" t="s">
        <v>1807</v>
      </c>
      <c r="I59" s="10" t="str">
        <f>HYPERLINK("https://he-eppat.vercel.app/Backlog-IDDS-OB-BAYAR-Prototype.html","https://he-eppat.vercel.app/Backlog-IDDS-OB-BAYAR-Prototype.html")</f>
        <v>https://he-eppat.vercel.app/Backlog-IDDS-OB-BAYAR-Prototype.html</v>
      </c>
      <c r="J59" s="10" t="s">
        <v>1853</v>
      </c>
      <c r="K59" s="12" t="s">
        <v>541</v>
      </c>
      <c r="L59" s="12" t="s">
        <v>27</v>
      </c>
      <c r="M59" s="13">
        <v>46321</v>
      </c>
    </row>
    <row r="60" spans="1:13" x14ac:dyDescent="0.25">
      <c r="A60" s="14">
        <v>56</v>
      </c>
      <c r="B60" s="15" t="s">
        <v>1854</v>
      </c>
      <c r="C60" s="14" t="s">
        <v>1803</v>
      </c>
      <c r="D60" s="14" t="s">
        <v>1855</v>
      </c>
      <c r="E60" s="14" t="s">
        <v>1856</v>
      </c>
      <c r="F60" s="14" t="s">
        <v>1857</v>
      </c>
      <c r="G60" s="14" t="s">
        <v>567</v>
      </c>
      <c r="H60" s="14" t="s">
        <v>1807</v>
      </c>
      <c r="I60" s="14" t="str">
        <f>HYPERLINK("https://he-eppat.vercel.app/Backlog-IDDS-OB-BAYAR-Prototype.html","https://he-eppat.vercel.app/Backlog-IDDS-OB-BAYAR-Prototype.html")</f>
        <v>https://he-eppat.vercel.app/Backlog-IDDS-OB-BAYAR-Prototype.html</v>
      </c>
      <c r="J60" s="14" t="s">
        <v>1858</v>
      </c>
      <c r="K60" s="12" t="s">
        <v>541</v>
      </c>
      <c r="L60" s="12" t="s">
        <v>27</v>
      </c>
      <c r="M60" s="16">
        <v>46321</v>
      </c>
    </row>
    <row r="61" spans="1:13" x14ac:dyDescent="0.25">
      <c r="A61" s="10">
        <v>57</v>
      </c>
      <c r="B61" s="11" t="s">
        <v>1859</v>
      </c>
      <c r="C61" s="10" t="s">
        <v>1803</v>
      </c>
      <c r="D61" s="10" t="s">
        <v>1860</v>
      </c>
      <c r="E61" s="10" t="s">
        <v>1861</v>
      </c>
      <c r="F61" s="10" t="s">
        <v>1862</v>
      </c>
      <c r="G61" s="10" t="s">
        <v>567</v>
      </c>
      <c r="H61" s="10" t="s">
        <v>1807</v>
      </c>
      <c r="I61" s="10" t="str">
        <f>HYPERLINK("https://he-eppat.vercel.app/Backlog-IDDS-OB-BAYAR-Prototype.html","https://he-eppat.vercel.app/Backlog-IDDS-OB-BAYAR-Prototype.html")</f>
        <v>https://he-eppat.vercel.app/Backlog-IDDS-OB-BAYAR-Prototype.html</v>
      </c>
      <c r="J61" s="10" t="s">
        <v>1863</v>
      </c>
      <c r="K61" s="12" t="s">
        <v>541</v>
      </c>
      <c r="L61" s="12" t="s">
        <v>27</v>
      </c>
      <c r="M61" s="13">
        <v>46321</v>
      </c>
    </row>
    <row r="62" spans="1:13" x14ac:dyDescent="0.25">
      <c r="A62" s="14">
        <v>58</v>
      </c>
      <c r="B62" s="15" t="s">
        <v>1864</v>
      </c>
      <c r="C62" s="14" t="s">
        <v>1803</v>
      </c>
      <c r="D62" s="14" t="s">
        <v>1865</v>
      </c>
      <c r="E62" s="14" t="s">
        <v>1866</v>
      </c>
      <c r="F62" s="14" t="s">
        <v>1867</v>
      </c>
      <c r="G62" s="14" t="s">
        <v>567</v>
      </c>
      <c r="H62" s="14" t="s">
        <v>1807</v>
      </c>
      <c r="I62" s="14" t="str">
        <f>HYPERLINK("https://he-eppat.vercel.app/Backlog-IDDS-OB-BAYAR-Prototype.html","https://he-eppat.vercel.app/Backlog-IDDS-OB-BAYAR-Prototype.html")</f>
        <v>https://he-eppat.vercel.app/Backlog-IDDS-OB-BAYAR-Prototype.html</v>
      </c>
      <c r="J62" s="14" t="s">
        <v>1868</v>
      </c>
      <c r="K62" s="12" t="s">
        <v>541</v>
      </c>
      <c r="L62" s="12" t="s">
        <v>27</v>
      </c>
      <c r="M62" s="16">
        <v>46321</v>
      </c>
    </row>
    <row r="63" spans="1:13" x14ac:dyDescent="0.25">
      <c r="A63" s="10">
        <v>59</v>
      </c>
      <c r="B63" s="11" t="s">
        <v>1869</v>
      </c>
      <c r="C63" s="10" t="s">
        <v>1803</v>
      </c>
      <c r="D63" s="10" t="s">
        <v>1870</v>
      </c>
      <c r="E63" s="10" t="s">
        <v>1871</v>
      </c>
      <c r="F63" s="10" t="s">
        <v>1872</v>
      </c>
      <c r="G63" s="10" t="s">
        <v>567</v>
      </c>
      <c r="H63" s="10" t="s">
        <v>1807</v>
      </c>
      <c r="I63" s="10" t="str">
        <f>HYPERLINK("https://he-eppat.vercel.app/Backlog-IDDS-OB-BAYAR-Prototype.html","https://he-eppat.vercel.app/Backlog-IDDS-OB-BAYAR-Prototype.html")</f>
        <v>https://he-eppat.vercel.app/Backlog-IDDS-OB-BAYAR-Prototype.html</v>
      </c>
      <c r="J63" s="10" t="s">
        <v>1873</v>
      </c>
      <c r="K63" s="12" t="s">
        <v>541</v>
      </c>
      <c r="L63" s="12" t="s">
        <v>27</v>
      </c>
      <c r="M63" s="13">
        <v>46321</v>
      </c>
    </row>
    <row r="64" spans="1:13" x14ac:dyDescent="0.25">
      <c r="A64" s="14">
        <v>60</v>
      </c>
      <c r="B64" s="15" t="s">
        <v>1874</v>
      </c>
      <c r="C64" s="14" t="s">
        <v>1803</v>
      </c>
      <c r="D64" s="14" t="s">
        <v>1875</v>
      </c>
      <c r="E64" s="14" t="s">
        <v>1876</v>
      </c>
      <c r="F64" s="14" t="s">
        <v>1877</v>
      </c>
      <c r="G64" s="14" t="s">
        <v>567</v>
      </c>
      <c r="H64" s="14" t="s">
        <v>1807</v>
      </c>
      <c r="I64" s="14" t="str">
        <f>HYPERLINK("https://he-eppat.vercel.app/Backlog-IDDS-OB-BAYAR-Prototype.html","https://he-eppat.vercel.app/Backlog-IDDS-OB-BAYAR-Prototype.html")</f>
        <v>https://he-eppat.vercel.app/Backlog-IDDS-OB-BAYAR-Prototype.html</v>
      </c>
      <c r="J64" s="14" t="s">
        <v>1878</v>
      </c>
      <c r="K64" s="12" t="s">
        <v>541</v>
      </c>
      <c r="L64" s="12" t="s">
        <v>27</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5"/>
  <sheetFormatPr defaultRowHeight="15" outlineLevelRow="0" outlineLevelCol="0" x14ac:dyDescent="55"/>
  <cols>
    <col min="1" max="1" width="30" customWidth="1"/>
    <col min="2" max="6" width="16" customWidth="1"/>
  </cols>
  <sheetData>
    <row r="1" ht="22" customHeight="1" spans="1:6" x14ac:dyDescent="0.25">
      <c r="A1" s="1" t="s">
        <v>1879</v>
      </c>
      <c r="B1" s="1"/>
      <c r="C1" s="1"/>
      <c r="D1" s="1"/>
      <c r="E1" s="1"/>
      <c r="F1" s="1"/>
    </row>
    <row r="2" spans="1:6" x14ac:dyDescent="0.25">
      <c r="A2" s="17" t="s">
        <v>1880</v>
      </c>
      <c r="B2" s="17"/>
      <c r="C2" s="17"/>
      <c r="D2" s="17"/>
      <c r="E2" s="17"/>
      <c r="F2" s="17"/>
    </row>
    <row r="4" ht="30" customHeight="1" spans="1:6" x14ac:dyDescent="0.25">
      <c r="A4" s="4" t="s">
        <v>528</v>
      </c>
      <c r="B4" s="4" t="s">
        <v>1881</v>
      </c>
      <c r="C4" s="4" t="s">
        <v>1882</v>
      </c>
      <c r="D4" s="4" t="s">
        <v>1883</v>
      </c>
      <c r="E4" s="4" t="s">
        <v>1884</v>
      </c>
      <c r="F4" s="4" t="s">
        <v>1885</v>
      </c>
    </row>
    <row r="5" spans="1:6" x14ac:dyDescent="0.25">
      <c r="A5" s="18" t="s">
        <v>1886</v>
      </c>
      <c r="B5" s="18">
        <f>COUNTIF('Usulan HE'!$N$5:$N$300,$A5)</f>
        <v>0</v>
      </c>
      <c r="C5" s="18">
        <f>COUNTIF('Penyesuaian IDDS Tenant'!$K$5:$K$300,$A5)</f>
        <v>0</v>
      </c>
      <c r="D5" s="18">
        <f>COUNTIF('Penyesuaian IDDS Platform'!$K$5:$K$300,$A5)</f>
        <v>0</v>
      </c>
      <c r="E5" s="18">
        <f>COUNTIF('Penyesuaian IDDS Onboarding'!$K$5:$K$300,$A5)</f>
        <v>0</v>
      </c>
      <c r="F5" s="18">
        <f>SUM(B5:E5)</f>
        <v>0</v>
      </c>
    </row>
    <row r="6" spans="1:6" x14ac:dyDescent="0.25">
      <c r="A6" s="18" t="s">
        <v>541</v>
      </c>
      <c r="B6" s="18">
        <f>COUNTIF('Usulan HE'!$N$5:$N$300,$A6)</f>
        <v>72</v>
      </c>
      <c r="C6" s="18">
        <f>COUNTIF('Penyesuaian IDDS Tenant'!$K$5:$K$300,$A6)</f>
        <v>40</v>
      </c>
      <c r="D6" s="18">
        <f>COUNTIF('Penyesuaian IDDS Platform'!$K$5:$K$300,$A6)</f>
        <v>41</v>
      </c>
      <c r="E6" s="18">
        <f>COUNTIF('Penyesuaian IDDS Onboarding'!$K$5:$K$300,$A6)</f>
        <v>60</v>
      </c>
      <c r="F6" s="18">
        <f>SUM(B6:E6)</f>
        <v>213</v>
      </c>
    </row>
    <row r="7" spans="1:6" x14ac:dyDescent="0.25">
      <c r="A7" s="18" t="s">
        <v>550</v>
      </c>
      <c r="B7" s="18">
        <f>COUNTIF('Usulan HE'!$N$5:$N$300,$A7)</f>
        <v>2</v>
      </c>
      <c r="C7" s="18">
        <f>COUNTIF('Penyesuaian IDDS Tenant'!$K$5:$K$300,$A7)</f>
        <v>0</v>
      </c>
      <c r="D7" s="18">
        <f>COUNTIF('Penyesuaian IDDS Platform'!$K$5:$K$300,$A7)</f>
        <v>0</v>
      </c>
      <c r="E7" s="18">
        <f>COUNTIF('Penyesuaian IDDS Onboarding'!$K$5:$K$300,$A7)</f>
        <v>0</v>
      </c>
      <c r="F7" s="18">
        <f>SUM(B7:E7)</f>
        <v>2</v>
      </c>
    </row>
    <row r="8" spans="1:6" x14ac:dyDescent="0.25">
      <c r="A8" s="18" t="s">
        <v>1887</v>
      </c>
      <c r="B8" s="18">
        <f>COUNTIF('Usulan HE'!$N$5:$N$300,$A8)</f>
        <v>0</v>
      </c>
      <c r="C8" s="18">
        <f>COUNTIF('Penyesuaian IDDS Tenant'!$K$5:$K$300,$A8)</f>
        <v>0</v>
      </c>
      <c r="D8" s="18">
        <f>COUNTIF('Penyesuaian IDDS Platform'!$K$5:$K$300,$A8)</f>
        <v>0</v>
      </c>
      <c r="E8" s="18">
        <f>COUNTIF('Penyesuaian IDDS Onboarding'!$K$5:$K$300,$A8)</f>
        <v>0</v>
      </c>
      <c r="F8" s="18">
        <f>SUM(B8:E8)</f>
        <v>0</v>
      </c>
    </row>
    <row r="9" spans="1:6" x14ac:dyDescent="0.25">
      <c r="A9" s="18" t="s">
        <v>1888</v>
      </c>
      <c r="B9" s="18">
        <f>COUNTIF('Usulan HE'!$N$5:$N$300,$A9)</f>
        <v>0</v>
      </c>
      <c r="C9" s="18">
        <f>COUNTIF('Penyesuaian IDDS Tenant'!$K$5:$K$300,$A9)</f>
        <v>0</v>
      </c>
      <c r="D9" s="18">
        <f>COUNTIF('Penyesuaian IDDS Platform'!$K$5:$K$300,$A9)</f>
        <v>0</v>
      </c>
      <c r="E9" s="18">
        <f>COUNTIF('Penyesuaian IDDS Onboarding'!$K$5:$K$300,$A9)</f>
        <v>0</v>
      </c>
      <c r="F9" s="18">
        <f>SUM(B9:E9)</f>
        <v>0</v>
      </c>
    </row>
    <row r="10" spans="1:6" x14ac:dyDescent="0.25">
      <c r="A10" s="18" t="s">
        <v>1889</v>
      </c>
      <c r="B10" s="18">
        <f>COUNTIF('Usulan HE'!$N$5:$N$300,$A10)</f>
        <v>0</v>
      </c>
      <c r="C10" s="18">
        <f>COUNTIF('Penyesuaian IDDS Tenant'!$K$5:$K$300,$A10)</f>
        <v>0</v>
      </c>
      <c r="D10" s="18">
        <f>COUNTIF('Penyesuaian IDDS Platform'!$K$5:$K$300,$A10)</f>
        <v>0</v>
      </c>
      <c r="E10" s="18">
        <f>COUNTIF('Penyesuaian IDDS Onboarding'!$K$5:$K$300,$A10)</f>
        <v>0</v>
      </c>
      <c r="F10" s="18">
        <f>SUM(B10:E10)</f>
        <v>0</v>
      </c>
    </row>
    <row r="11" spans="1:6" x14ac:dyDescent="0.25">
      <c r="A11" s="18" t="s">
        <v>1890</v>
      </c>
      <c r="B11" s="18">
        <f>COUNTIF('Usulan HE'!$N$5:$N$300,$A11)</f>
        <v>0</v>
      </c>
      <c r="C11" s="18">
        <f>COUNTIF('Penyesuaian IDDS Tenant'!$K$5:$K$300,$A11)</f>
        <v>0</v>
      </c>
      <c r="D11" s="18">
        <f>COUNTIF('Penyesuaian IDDS Platform'!$K$5:$K$300,$A11)</f>
        <v>0</v>
      </c>
      <c r="E11" s="18">
        <f>COUNTIF('Penyesuaian IDDS Onboarding'!$K$5:$K$300,$A11)</f>
        <v>0</v>
      </c>
      <c r="F11" s="18">
        <f>SUM(B11:E11)</f>
        <v>0</v>
      </c>
    </row>
    <row r="12" spans="1:6" x14ac:dyDescent="0.25">
      <c r="A12" s="19" t="s">
        <v>1885</v>
      </c>
      <c r="B12" s="19">
        <f>COUNTIF('Usulan HE'!$B$5:$B$300,"?*")</f>
        <v>74</v>
      </c>
      <c r="C12" s="19">
        <f>COUNTIF('Penyesuaian IDDS Tenant'!$B$5:$B$300,"?*")</f>
        <v>40</v>
      </c>
      <c r="D12" s="19">
        <f>COUNTIF('Penyesuaian IDDS Platform'!$B$5:$B$300,"?*")</f>
        <v>41</v>
      </c>
      <c r="E12" s="19">
        <f>COUNTIF('Penyesuaian IDDS Onboarding'!$B$5:$B$300,"?*")</f>
        <v>60</v>
      </c>
      <c r="F12" s="19">
        <f>SUM(B12:E12)</f>
        <v>215</v>
      </c>
    </row>
    <row r="14" ht="30" customHeight="1" spans="1:6" x14ac:dyDescent="0.25">
      <c r="A14" s="20" t="s">
        <v>525</v>
      </c>
      <c r="B14" s="20" t="s">
        <v>1881</v>
      </c>
      <c r="C14" s="20" t="s">
        <v>1882</v>
      </c>
      <c r="D14" s="20" t="s">
        <v>1883</v>
      </c>
      <c r="E14" s="20" t="s">
        <v>1884</v>
      </c>
      <c r="F14" s="20" t="s">
        <v>1885</v>
      </c>
    </row>
    <row r="15" spans="1:6" x14ac:dyDescent="0.25">
      <c r="A15" s="18" t="s">
        <v>538</v>
      </c>
      <c r="B15" s="18">
        <f>COUNTIF('Usulan HE'!$J$5:$J$300,$A15)</f>
        <v>32</v>
      </c>
      <c r="C15" s="18">
        <f>COUNTIF('Penyesuaian IDDS Tenant'!$G$5:$G$300,$A15)</f>
        <v>6</v>
      </c>
      <c r="D15" s="18">
        <f>COUNTIF('Penyesuaian IDDS Platform'!$G$5:$G$300,$A15)</f>
        <v>0</v>
      </c>
      <c r="E15" s="18">
        <f>COUNTIF('Penyesuaian IDDS Onboarding'!$G$5:$G$300,$A15)</f>
        <v>0</v>
      </c>
      <c r="F15" s="18">
        <f>SUM(B15:E15)</f>
        <v>38</v>
      </c>
    </row>
    <row r="16" spans="1:6" x14ac:dyDescent="0.25">
      <c r="A16" s="18" t="s">
        <v>567</v>
      </c>
      <c r="B16" s="18">
        <f>COUNTIF('Usulan HE'!$J$5:$J$300,$A16)</f>
        <v>31</v>
      </c>
      <c r="C16" s="18">
        <f>COUNTIF('Penyesuaian IDDS Tenant'!$G$5:$G$300,$A16)</f>
        <v>22</v>
      </c>
      <c r="D16" s="18">
        <f>COUNTIF('Penyesuaian IDDS Platform'!$G$5:$G$300,$A16)</f>
        <v>41</v>
      </c>
      <c r="E16" s="18">
        <f>COUNTIF('Penyesuaian IDDS Onboarding'!$G$5:$G$300,$A16)</f>
        <v>60</v>
      </c>
      <c r="F16" s="18">
        <f>SUM(B16:E16)</f>
        <v>154</v>
      </c>
    </row>
    <row r="17" spans="1:6" x14ac:dyDescent="0.25">
      <c r="A17" s="18" t="s">
        <v>641</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1891</v>
      </c>
      <c r="B19" s="20" t="s">
        <v>1892</v>
      </c>
      <c r="C19" s="20" t="s">
        <v>1893</v>
      </c>
    </row>
    <row r="20" spans="1:3" x14ac:dyDescent="0.25">
      <c r="A20" s="18" t="s">
        <v>532</v>
      </c>
      <c r="B20" s="18" t="s">
        <v>1881</v>
      </c>
      <c r="C20" s="18">
        <f>COUNTIF('Usulan HE'!$D$5:$D$300,A20)</f>
        <v>2</v>
      </c>
    </row>
    <row r="21" spans="1:3" x14ac:dyDescent="0.25">
      <c r="A21" s="18" t="s">
        <v>436</v>
      </c>
      <c r="B21" s="18" t="s">
        <v>1881</v>
      </c>
      <c r="C21" s="18">
        <f>COUNTIF('Usulan HE'!$D$5:$D$300,A21)</f>
        <v>7</v>
      </c>
    </row>
    <row r="22" spans="1:3" x14ac:dyDescent="0.25">
      <c r="A22" s="18" t="s">
        <v>411</v>
      </c>
      <c r="B22" s="18" t="s">
        <v>1881</v>
      </c>
      <c r="C22" s="18">
        <f>COUNTIF('Usulan HE'!$D$5:$D$300,A22)</f>
        <v>8</v>
      </c>
    </row>
    <row r="23" spans="1:3" x14ac:dyDescent="0.25">
      <c r="A23" s="18" t="s">
        <v>665</v>
      </c>
      <c r="B23" s="18" t="s">
        <v>1881</v>
      </c>
      <c r="C23" s="18">
        <f>COUNTIF('Usulan HE'!$D$5:$D$300,A23)</f>
        <v>7</v>
      </c>
    </row>
    <row r="24" spans="1:3" x14ac:dyDescent="0.25">
      <c r="A24" s="18" t="s">
        <v>722</v>
      </c>
      <c r="B24" s="18" t="s">
        <v>1881</v>
      </c>
      <c r="C24" s="18">
        <f>COUNTIF('Usulan HE'!$D$5:$D$300,A24)</f>
        <v>12</v>
      </c>
    </row>
    <row r="25" spans="1:3" x14ac:dyDescent="0.25">
      <c r="A25" s="18" t="s">
        <v>768</v>
      </c>
      <c r="B25" s="18" t="s">
        <v>1881</v>
      </c>
      <c r="C25" s="18">
        <f>COUNTIF('Usulan HE'!$D$5:$D$300,A25)</f>
        <v>8</v>
      </c>
    </row>
    <row r="26" spans="1:3" x14ac:dyDescent="0.25">
      <c r="A26" s="18" t="s">
        <v>416</v>
      </c>
      <c r="B26" s="18" t="s">
        <v>1881</v>
      </c>
      <c r="C26" s="18">
        <f>COUNTIF('Usulan HE'!$D$5:$D$300,A26)</f>
        <v>1</v>
      </c>
    </row>
    <row r="27" spans="1:3" x14ac:dyDescent="0.25">
      <c r="A27" s="18" t="s">
        <v>837</v>
      </c>
      <c r="B27" s="18" t="s">
        <v>1881</v>
      </c>
      <c r="C27" s="18">
        <f>COUNTIF('Usulan HE'!$D$5:$D$300,A27)</f>
        <v>7</v>
      </c>
    </row>
    <row r="28" spans="1:3" x14ac:dyDescent="0.25">
      <c r="A28" s="18" t="s">
        <v>891</v>
      </c>
      <c r="B28" s="18" t="s">
        <v>1881</v>
      </c>
      <c r="C28" s="18">
        <f>COUNTIF('Usulan HE'!$D$5:$D$300,A28)</f>
        <v>5</v>
      </c>
    </row>
    <row r="29" spans="1:3" x14ac:dyDescent="0.25">
      <c r="A29" s="18" t="s">
        <v>927</v>
      </c>
      <c r="B29" s="18" t="s">
        <v>1881</v>
      </c>
      <c r="C29" s="18">
        <f>COUNTIF('Usulan HE'!$D$5:$D$300,A29)</f>
        <v>4</v>
      </c>
    </row>
    <row r="30" spans="1:3" x14ac:dyDescent="0.25">
      <c r="A30" s="18" t="s">
        <v>954</v>
      </c>
      <c r="B30" s="18" t="s">
        <v>1881</v>
      </c>
      <c r="C30" s="18">
        <f>COUNTIF('Usulan HE'!$D$5:$D$300,A30)</f>
        <v>4</v>
      </c>
    </row>
    <row r="31" spans="1:3" x14ac:dyDescent="0.25">
      <c r="A31" s="18" t="s">
        <v>981</v>
      </c>
      <c r="B31" s="18" t="s">
        <v>1881</v>
      </c>
      <c r="C31" s="18">
        <f>COUNTIF('Usulan HE'!$D$5:$D$300,A31)</f>
        <v>4</v>
      </c>
    </row>
    <row r="32" spans="1:3" x14ac:dyDescent="0.25">
      <c r="A32" s="18" t="s">
        <v>1011</v>
      </c>
      <c r="B32" s="18" t="s">
        <v>1881</v>
      </c>
      <c r="C32" s="18">
        <f>COUNTIF('Usulan HE'!$D$5:$D$300,A32)</f>
        <v>5</v>
      </c>
    </row>
    <row r="33" spans="1:3" x14ac:dyDescent="0.25">
      <c r="A33" s="18" t="s">
        <v>1097</v>
      </c>
      <c r="B33" s="18" t="s">
        <v>1882</v>
      </c>
      <c r="C33" s="18">
        <f>COUNTIF('Penyesuaian IDDS Tenant'!$C$5:$C$300,A33)</f>
        <v>8</v>
      </c>
    </row>
    <row r="34" spans="1:3" x14ac:dyDescent="0.25">
      <c r="A34" s="18" t="s">
        <v>1135</v>
      </c>
      <c r="B34" s="18" t="s">
        <v>1882</v>
      </c>
      <c r="C34" s="18">
        <f>COUNTIF('Penyesuaian IDDS Tenant'!$C$5:$C$300,A34)</f>
        <v>2</v>
      </c>
    </row>
    <row r="35" spans="1:3" x14ac:dyDescent="0.25">
      <c r="A35" s="18" t="s">
        <v>1147</v>
      </c>
      <c r="B35" s="18" t="s">
        <v>1882</v>
      </c>
      <c r="C35" s="18">
        <f>COUNTIF('Penyesuaian IDDS Tenant'!$C$5:$C$300,A35)</f>
        <v>3</v>
      </c>
    </row>
    <row r="36" spans="1:3" x14ac:dyDescent="0.25">
      <c r="A36" s="18" t="s">
        <v>1164</v>
      </c>
      <c r="B36" s="18" t="s">
        <v>1882</v>
      </c>
      <c r="C36" s="18">
        <f>COUNTIF('Penyesuaian IDDS Tenant'!$C$5:$C$300,A36)</f>
        <v>1</v>
      </c>
    </row>
    <row r="37" spans="1:3" x14ac:dyDescent="0.25">
      <c r="A37" s="18" t="s">
        <v>1171</v>
      </c>
      <c r="B37" s="18" t="s">
        <v>1882</v>
      </c>
      <c r="C37" s="18">
        <f>COUNTIF('Penyesuaian IDDS Tenant'!$C$5:$C$300,A37)</f>
        <v>1</v>
      </c>
    </row>
    <row r="38" spans="1:3" x14ac:dyDescent="0.25">
      <c r="A38" s="18" t="s">
        <v>1178</v>
      </c>
      <c r="B38" s="18" t="s">
        <v>1882</v>
      </c>
      <c r="C38" s="18">
        <f>COUNTIF('Penyesuaian IDDS Tenant'!$C$5:$C$300,A38)</f>
        <v>2</v>
      </c>
    </row>
    <row r="39" spans="1:3" x14ac:dyDescent="0.25">
      <c r="A39" s="18" t="s">
        <v>1190</v>
      </c>
      <c r="B39" s="18" t="s">
        <v>1882</v>
      </c>
      <c r="C39" s="18">
        <f>COUNTIF('Penyesuaian IDDS Tenant'!$C$5:$C$300,A39)</f>
        <v>1</v>
      </c>
    </row>
    <row r="40" spans="1:3" x14ac:dyDescent="0.25">
      <c r="A40" s="18" t="s">
        <v>1198</v>
      </c>
      <c r="B40" s="18" t="s">
        <v>1882</v>
      </c>
      <c r="C40" s="18">
        <f>COUNTIF('Penyesuaian IDDS Tenant'!$C$5:$C$300,A40)</f>
        <v>1</v>
      </c>
    </row>
    <row r="41" spans="1:3" x14ac:dyDescent="0.25">
      <c r="A41" s="18" t="s">
        <v>1205</v>
      </c>
      <c r="B41" s="18" t="s">
        <v>1882</v>
      </c>
      <c r="C41" s="18">
        <f>COUNTIF('Penyesuaian IDDS Tenant'!$C$5:$C$300,A41)</f>
        <v>2</v>
      </c>
    </row>
    <row r="42" spans="1:3" x14ac:dyDescent="0.25">
      <c r="A42" s="18" t="s">
        <v>1217</v>
      </c>
      <c r="B42" s="18" t="s">
        <v>1882</v>
      </c>
      <c r="C42" s="18">
        <f>COUNTIF('Penyesuaian IDDS Tenant'!$C$5:$C$300,A42)</f>
        <v>1</v>
      </c>
    </row>
    <row r="43" spans="1:3" x14ac:dyDescent="0.25">
      <c r="A43" s="18" t="s">
        <v>1224</v>
      </c>
      <c r="B43" s="18" t="s">
        <v>1882</v>
      </c>
      <c r="C43" s="18">
        <f>COUNTIF('Penyesuaian IDDS Tenant'!$C$5:$C$300,A43)</f>
        <v>1</v>
      </c>
    </row>
    <row r="44" spans="1:3" x14ac:dyDescent="0.25">
      <c r="A44" s="18" t="s">
        <v>1231</v>
      </c>
      <c r="B44" s="18" t="s">
        <v>1882</v>
      </c>
      <c r="C44" s="18">
        <f>COUNTIF('Penyesuaian IDDS Tenant'!$C$5:$C$300,A44)</f>
        <v>1</v>
      </c>
    </row>
    <row r="45" spans="1:3" x14ac:dyDescent="0.25">
      <c r="A45" s="18" t="s">
        <v>1239</v>
      </c>
      <c r="B45" s="18" t="s">
        <v>1882</v>
      </c>
      <c r="C45" s="18">
        <f>COUNTIF('Penyesuaian IDDS Tenant'!$C$5:$C$300,A45)</f>
        <v>3</v>
      </c>
    </row>
    <row r="46" spans="1:3" x14ac:dyDescent="0.25">
      <c r="A46" s="18" t="s">
        <v>1256</v>
      </c>
      <c r="B46" s="18" t="s">
        <v>1882</v>
      </c>
      <c r="C46" s="18">
        <f>COUNTIF('Penyesuaian IDDS Tenant'!$C$5:$C$300,A46)</f>
        <v>2</v>
      </c>
    </row>
    <row r="47" spans="1:3" x14ac:dyDescent="0.25">
      <c r="A47" s="18" t="s">
        <v>1267</v>
      </c>
      <c r="B47" s="18" t="s">
        <v>1882</v>
      </c>
      <c r="C47" s="18">
        <f>COUNTIF('Penyesuaian IDDS Tenant'!$C$5:$C$300,A47)</f>
        <v>2</v>
      </c>
    </row>
    <row r="48" spans="1:3" x14ac:dyDescent="0.25">
      <c r="A48" s="18" t="s">
        <v>1278</v>
      </c>
      <c r="B48" s="18" t="s">
        <v>1882</v>
      </c>
      <c r="C48" s="18">
        <f>COUNTIF('Penyesuaian IDDS Tenant'!$C$5:$C$300,A48)</f>
        <v>1</v>
      </c>
    </row>
    <row r="49" spans="1:3" x14ac:dyDescent="0.25">
      <c r="A49" s="18" t="s">
        <v>1285</v>
      </c>
      <c r="B49" s="18" t="s">
        <v>1882</v>
      </c>
      <c r="C49" s="18">
        <f>COUNTIF('Penyesuaian IDDS Tenant'!$C$5:$C$300,A49)</f>
        <v>1</v>
      </c>
    </row>
    <row r="50" spans="1:3" x14ac:dyDescent="0.25">
      <c r="A50" s="18" t="s">
        <v>1293</v>
      </c>
      <c r="B50" s="18" t="s">
        <v>1882</v>
      </c>
      <c r="C50" s="18">
        <f>COUNTIF('Penyesuaian IDDS Tenant'!$C$5:$C$300,A50)</f>
        <v>1</v>
      </c>
    </row>
    <row r="51" spans="1:3" x14ac:dyDescent="0.25">
      <c r="A51" s="18" t="s">
        <v>1300</v>
      </c>
      <c r="B51" s="18" t="s">
        <v>1882</v>
      </c>
      <c r="C51" s="18">
        <f>COUNTIF('Penyesuaian IDDS Tenant'!$C$5:$C$300,A51)</f>
        <v>1</v>
      </c>
    </row>
    <row r="52" spans="1:3" x14ac:dyDescent="0.25">
      <c r="A52" s="18" t="s">
        <v>1307</v>
      </c>
      <c r="B52" s="18" t="s">
        <v>1882</v>
      </c>
      <c r="C52" s="18">
        <f>COUNTIF('Penyesuaian IDDS Tenant'!$C$5:$C$300,A52)</f>
        <v>1</v>
      </c>
    </row>
    <row r="53" spans="1:3" x14ac:dyDescent="0.25">
      <c r="A53" s="18" t="s">
        <v>1315</v>
      </c>
      <c r="B53" s="18" t="s">
        <v>1882</v>
      </c>
      <c r="C53" s="18">
        <f>COUNTIF('Penyesuaian IDDS Tenant'!$C$5:$C$300,A53)</f>
        <v>2</v>
      </c>
    </row>
    <row r="54" spans="1:3" x14ac:dyDescent="0.25">
      <c r="A54" s="18" t="s">
        <v>1332</v>
      </c>
      <c r="B54" s="18" t="s">
        <v>1882</v>
      </c>
      <c r="C54" s="18">
        <f>COUNTIF('Penyesuaian IDDS Tenant'!$C$5:$C$300,A54)</f>
        <v>1</v>
      </c>
    </row>
    <row r="55" spans="1:3" x14ac:dyDescent="0.25">
      <c r="A55" s="18" t="s">
        <v>1340</v>
      </c>
      <c r="B55" s="18" t="s">
        <v>1882</v>
      </c>
      <c r="C55" s="18">
        <f>COUNTIF('Penyesuaian IDDS Tenant'!$C$5:$C$300,A55)</f>
        <v>1</v>
      </c>
    </row>
    <row r="56" spans="1:3" x14ac:dyDescent="0.25">
      <c r="A56" s="18" t="s">
        <v>1350</v>
      </c>
      <c r="B56" s="18" t="s">
        <v>1883</v>
      </c>
      <c r="C56" s="18">
        <f>COUNTIF('Penyesuaian IDDS Platform'!$C$5:$C$300,A56)</f>
        <v>10</v>
      </c>
    </row>
    <row r="57" spans="1:3" x14ac:dyDescent="0.25">
      <c r="A57" s="18" t="s">
        <v>1403</v>
      </c>
      <c r="B57" s="18" t="s">
        <v>1883</v>
      </c>
      <c r="C57" s="18">
        <f>COUNTIF('Penyesuaian IDDS Platform'!$C$5:$C$300,A57)</f>
        <v>10</v>
      </c>
    </row>
    <row r="58" spans="1:3" x14ac:dyDescent="0.25">
      <c r="A58" s="18" t="s">
        <v>1456</v>
      </c>
      <c r="B58" s="18" t="s">
        <v>1883</v>
      </c>
      <c r="C58" s="18">
        <f>COUNTIF('Penyesuaian IDDS Platform'!$C$5:$C$300,A58)</f>
        <v>10</v>
      </c>
    </row>
    <row r="59" spans="1:3" x14ac:dyDescent="0.25">
      <c r="A59" s="18" t="s">
        <v>1508</v>
      </c>
      <c r="B59" s="18" t="s">
        <v>1883</v>
      </c>
      <c r="C59" s="18">
        <f>COUNTIF('Penyesuaian IDDS Platform'!$C$5:$C$300,A59)</f>
        <v>10</v>
      </c>
    </row>
    <row r="60" spans="1:3" x14ac:dyDescent="0.25">
      <c r="A60" s="18" t="s">
        <v>1561</v>
      </c>
      <c r="B60" s="18" t="s">
        <v>1883</v>
      </c>
      <c r="C60" s="18">
        <f>COUNTIF('Penyesuaian IDDS Platform'!$C$5:$C$300,A60)</f>
        <v>1</v>
      </c>
    </row>
    <row r="61" spans="1:3" x14ac:dyDescent="0.25">
      <c r="A61" s="18" t="s">
        <v>1571</v>
      </c>
      <c r="B61" s="18" t="s">
        <v>1884</v>
      </c>
      <c r="C61" s="18">
        <f>COUNTIF('Penyesuaian IDDS Onboarding'!$C$5:$C$300,A61)</f>
        <v>10</v>
      </c>
    </row>
    <row r="62" spans="1:3" x14ac:dyDescent="0.25">
      <c r="A62" s="18" t="s">
        <v>1623</v>
      </c>
      <c r="B62" s="18" t="s">
        <v>1884</v>
      </c>
      <c r="C62" s="18">
        <f>COUNTIF('Penyesuaian IDDS Onboarding'!$C$5:$C$300,A62)</f>
        <v>10</v>
      </c>
    </row>
    <row r="63" spans="1:3" x14ac:dyDescent="0.25">
      <c r="A63" s="18" t="s">
        <v>1675</v>
      </c>
      <c r="B63" s="18" t="s">
        <v>1884</v>
      </c>
      <c r="C63" s="18">
        <f>COUNTIF('Penyesuaian IDDS Onboarding'!$C$5:$C$300,A63)</f>
        <v>10</v>
      </c>
    </row>
    <row r="64" spans="1:3" x14ac:dyDescent="0.25">
      <c r="A64" s="18" t="s">
        <v>1726</v>
      </c>
      <c r="B64" s="18" t="s">
        <v>1884</v>
      </c>
      <c r="C64" s="18">
        <f>COUNTIF('Penyesuaian IDDS Onboarding'!$C$5:$C$300,A64)</f>
        <v>15</v>
      </c>
    </row>
    <row r="65" spans="1:3" x14ac:dyDescent="0.25">
      <c r="A65" s="18" t="s">
        <v>1803</v>
      </c>
      <c r="B65" s="18" t="s">
        <v>1884</v>
      </c>
      <c r="C65" s="18">
        <f>COUNTIF('Penyesuaian IDDS Onboarding'!$C$5:$C$300,A65)</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7"/>
  <sheetViews>
    <sheetView workbookViewId="0">
      <pane ySplit="4" topLeftCell="A5" activePane="bottomLeft" state="frozen"/>
      <selection pane="bottomLeft"/>
    </sheetView>
  </sheetViews>
  <sheetFormatPr defaultRowHeight="15" outlineLevelRow="0" outlineLevelCol="0" x14ac:dyDescent="55"/>
  <cols>
    <col min="1" max="1" width="44" customWidth="1"/>
    <col min="2" max="6" width="13" customWidth="1"/>
    <col min="7" max="7" width="20" customWidth="1"/>
    <col min="8" max="8" width="60" customWidth="1"/>
    <col min="9" max="9" width="46" customWidth="1"/>
  </cols>
  <sheetData>
    <row r="1" ht="22" customHeight="1" spans="1:9" x14ac:dyDescent="0.25">
      <c r="A1" s="1" t="s">
        <v>1894</v>
      </c>
      <c r="B1" s="1"/>
      <c r="C1" s="1"/>
      <c r="D1" s="1"/>
      <c r="E1" s="1"/>
      <c r="F1" s="1"/>
      <c r="G1" s="1"/>
      <c r="H1" s="1"/>
      <c r="I1" s="1"/>
    </row>
    <row r="2" spans="1:9" x14ac:dyDescent="0.25">
      <c r="A2" s="2" t="s">
        <v>1895</v>
      </c>
      <c r="B2" s="2"/>
      <c r="C2" s="2"/>
      <c r="D2" s="2"/>
      <c r="E2" s="2"/>
      <c r="F2" s="2"/>
      <c r="G2" s="2"/>
      <c r="H2" s="2"/>
      <c r="I2" s="2"/>
    </row>
    <row r="4" ht="30" customHeight="1" spans="1:9" x14ac:dyDescent="0.25">
      <c r="A4" s="4" t="s">
        <v>1896</v>
      </c>
      <c r="B4" s="4" t="s">
        <v>1897</v>
      </c>
      <c r="C4" s="4" t="s">
        <v>1898</v>
      </c>
      <c r="D4" s="4" t="s">
        <v>1899</v>
      </c>
      <c r="E4" s="4" t="s">
        <v>1900</v>
      </c>
      <c r="F4" s="4" t="s">
        <v>1901</v>
      </c>
      <c r="G4" s="4" t="s">
        <v>1902</v>
      </c>
      <c r="H4" s="4" t="s">
        <v>1903</v>
      </c>
      <c r="I4" s="4" t="s">
        <v>8</v>
      </c>
    </row>
    <row r="5" spans="1:9" x14ac:dyDescent="0.25">
      <c r="A5" s="10" t="s">
        <v>1904</v>
      </c>
      <c r="B5" s="21">
        <v>36.2</v>
      </c>
      <c r="C5" s="21">
        <v>75</v>
      </c>
      <c r="D5" s="21">
        <v>85</v>
      </c>
      <c r="E5" s="22">
        <f>C5-B5</f>
        <v>38.8</v>
      </c>
      <c r="F5" s="22">
        <f>D5-B5</f>
        <v>48.8</v>
      </c>
      <c r="G5" s="10" t="s">
        <v>1905</v>
      </c>
      <c r="H5" s="10" t="s">
        <v>1906</v>
      </c>
      <c r="I5" s="8" t="str">
        <f>HYPERLINK("https://he-eppat.vercel.app/Backlog-HE-EAW-Prototype.html","https://he-eppat.vercel.app/Backlog-HE-EAW-Prototype.html")</f>
        <v>https://he-eppat.vercel.app/Backlog-HE-EAW-Prototype.html</v>
      </c>
    </row>
    <row r="6" spans="1:9" x14ac:dyDescent="0.25">
      <c r="A6" s="10" t="s">
        <v>1907</v>
      </c>
      <c r="B6" s="21">
        <v>41.7</v>
      </c>
      <c r="C6" s="21">
        <v>78</v>
      </c>
      <c r="D6" s="21">
        <v>88</v>
      </c>
      <c r="E6" s="22">
        <f>C6-B6</f>
        <v>36.3</v>
      </c>
      <c r="F6" s="22">
        <f>D6-B6</f>
        <v>46.3</v>
      </c>
      <c r="G6" s="10" t="s">
        <v>1908</v>
      </c>
      <c r="H6" s="10" t="s">
        <v>1909</v>
      </c>
      <c r="I6" s="8" t="str">
        <f>HYPERLINK("https://he-eppat.vercel.app/Backlog-HE-TERA-Prototype.html","https://he-eppat.vercel.app/Backlog-HE-TERA-Prototype.html")</f>
        <v>https://he-eppat.vercel.app/Backlog-HE-TERA-Prototype.html</v>
      </c>
    </row>
    <row r="7" spans="1:9" x14ac:dyDescent="0.25">
      <c r="A7" s="10" t="s">
        <v>1910</v>
      </c>
      <c r="B7" s="21">
        <v>46.4</v>
      </c>
      <c r="C7" s="21">
        <v>78</v>
      </c>
      <c r="D7" s="21">
        <v>88</v>
      </c>
      <c r="E7" s="22">
        <f>C7-B7</f>
        <v>31.6</v>
      </c>
      <c r="F7" s="22">
        <f>D7-B7</f>
        <v>41.6</v>
      </c>
      <c r="G7" s="10" t="s">
        <v>1905</v>
      </c>
      <c r="H7" s="10" t="s">
        <v>1911</v>
      </c>
      <c r="I7" s="8" t="str">
        <f>HYPERLINK("https://he-eppat.vercel.app/Backlog-HE-EAWK-Prototype.html","https://he-eppat.vercel.app/Backlog-HE-EAWK-Prototype.html")</f>
        <v>https://he-eppat.vercel.app/Backlog-HE-EAWK-Prototype.html</v>
      </c>
    </row>
    <row r="8" spans="1:9" x14ac:dyDescent="0.25">
      <c r="A8" s="10" t="s">
        <v>1912</v>
      </c>
      <c r="B8" s="21">
        <v>47.1</v>
      </c>
      <c r="C8" s="21">
        <v>75</v>
      </c>
      <c r="D8" s="21">
        <v>85</v>
      </c>
      <c r="E8" s="22">
        <f>C8-B8</f>
        <v>27.9</v>
      </c>
      <c r="F8" s="22">
        <f>D8-B8</f>
        <v>37.9</v>
      </c>
      <c r="G8" s="10" t="s">
        <v>1905</v>
      </c>
      <c r="H8" s="10" t="s">
        <v>1913</v>
      </c>
      <c r="I8" s="8" t="str">
        <f>HYPERLINK("https://he-eppat.vercel.app/Backlog-HE-MINUTA-Prototype.html","https://he-eppat.vercel.app/Backlog-HE-MINUTA-Prototype.html")</f>
        <v>https://he-eppat.vercel.app/Backlog-HE-MINUTA-Prototype.html</v>
      </c>
    </row>
    <row r="9" spans="1:9" x14ac:dyDescent="0.25">
      <c r="A9" s="23" t="s">
        <v>1914</v>
      </c>
      <c r="B9" s="24">
        <v>47.1</v>
      </c>
      <c r="C9" s="24">
        <v>85</v>
      </c>
      <c r="D9" s="24">
        <v>90</v>
      </c>
      <c r="E9" s="25">
        <f>C9-B9</f>
        <v>37.9</v>
      </c>
      <c r="F9" s="25">
        <f>D9-B9</f>
        <v>42.9</v>
      </c>
      <c r="G9" s="26" t="s">
        <v>1915</v>
      </c>
      <c r="H9" s="26" t="s">
        <v>1916</v>
      </c>
      <c r="I9" s="27" t="str">
        <f>HYPERLINK("https://he-eppat.vercel.app/Backlog-HE-MINUTA-V2-Prototype.html","https://he-eppat.vercel.app/Backlog-HE-MINUTA-V2-Prototype.html")</f>
        <v>https://he-eppat.vercel.app/Backlog-HE-MINUTA-V2-Prototype.html</v>
      </c>
    </row>
    <row r="10" spans="1:9" x14ac:dyDescent="0.25">
      <c r="A10" s="10" t="s">
        <v>1917</v>
      </c>
      <c r="B10" s="21">
        <v>48.6</v>
      </c>
      <c r="C10" s="21">
        <v>78</v>
      </c>
      <c r="D10" s="21">
        <v>88</v>
      </c>
      <c r="E10" s="22">
        <f>C10-B10</f>
        <v>29.4</v>
      </c>
      <c r="F10" s="22">
        <f>D10-B10</f>
        <v>39.4</v>
      </c>
      <c r="G10" s="10" t="s">
        <v>1905</v>
      </c>
      <c r="H10" s="10" t="s">
        <v>1918</v>
      </c>
      <c r="I10" s="8" t="str">
        <f>HYPERLINK("https://he-eppat.vercel.app/Backlog-HE-ORDER-Prototype.html","https://he-eppat.vercel.app/Backlog-HE-ORDER-Prototype.html")</f>
        <v>https://he-eppat.vercel.app/Backlog-HE-ORDER-Prototype.html</v>
      </c>
    </row>
    <row r="11" spans="1:9" x14ac:dyDescent="0.25">
      <c r="A11" s="10" t="s">
        <v>1919</v>
      </c>
      <c r="B11" s="21">
        <v>54.5</v>
      </c>
      <c r="C11" s="21">
        <v>80</v>
      </c>
      <c r="D11" s="21">
        <v>90</v>
      </c>
      <c r="E11" s="22">
        <f>C11-B11</f>
        <v>25.5</v>
      </c>
      <c r="F11" s="22">
        <f>D11-B11</f>
        <v>35.5</v>
      </c>
      <c r="G11" s="10" t="s">
        <v>1920</v>
      </c>
      <c r="H11" s="10" t="s">
        <v>1921</v>
      </c>
      <c r="I11" s="8" t="str">
        <f>HYPERLINK("https://he-eppat.vercel.app/Backlog-HE-VERIF-Prototype.html","https://he-eppat.vercel.app/Backlog-HE-VERIF-Prototype.html")</f>
        <v>https://he-eppat.vercel.app/Backlog-HE-VERIF-Prototype.html</v>
      </c>
    </row>
    <row r="12" spans="1:9" x14ac:dyDescent="0.25">
      <c r="A12" s="10" t="s">
        <v>1922</v>
      </c>
      <c r="B12" s="21">
        <v>54.8</v>
      </c>
      <c r="C12" s="21">
        <v>78</v>
      </c>
      <c r="D12" s="21">
        <v>88</v>
      </c>
      <c r="E12" s="22">
        <f>C12-B12</f>
        <v>23.200000000000003</v>
      </c>
      <c r="F12" s="22">
        <f>D12-B12</f>
        <v>33.2</v>
      </c>
      <c r="G12" s="10" t="s">
        <v>1908</v>
      </c>
      <c r="H12" s="10" t="s">
        <v>1923</v>
      </c>
      <c r="I12" s="8" t="str">
        <f>HYPERLINK("https://he-eppat.vercel.app/Backlog-HE-CA-Prototype.html","https://he-eppat.vercel.app/Backlog-HE-CA-Prototype.html")</f>
        <v>https://he-eppat.vercel.app/Backlog-HE-CA-Prototype.html</v>
      </c>
    </row>
    <row r="13" spans="1:9" x14ac:dyDescent="0.25">
      <c r="A13" s="10" t="s">
        <v>1924</v>
      </c>
      <c r="B13" s="21">
        <v>68.6</v>
      </c>
      <c r="C13" s="21">
        <v>85</v>
      </c>
      <c r="D13" s="21">
        <v>92</v>
      </c>
      <c r="E13" s="22">
        <f>C13-B13</f>
        <v>16.400000000000006</v>
      </c>
      <c r="F13" s="22">
        <f>D13-B13</f>
        <v>23.400000000000006</v>
      </c>
      <c r="G13" s="10" t="s">
        <v>1920</v>
      </c>
      <c r="H13" s="10" t="s">
        <v>1925</v>
      </c>
      <c r="I13" s="8" t="str">
        <f>HYPERLINK("https://he-eppat.vercel.app/Backlog-HE-ONBOARDING-Prototype.html","https://he-eppat.vercel.app/Backlog-HE-ONBOARDING-Prototype.html")</f>
        <v>https://he-eppat.vercel.app/Backlog-HE-ONBOARDING-Prototype.html</v>
      </c>
    </row>
    <row r="14" spans="1:9" x14ac:dyDescent="0.25">
      <c r="A14" s="10" t="s">
        <v>1011</v>
      </c>
      <c r="B14" s="21">
        <v>71.5</v>
      </c>
      <c r="C14" s="21">
        <v>85</v>
      </c>
      <c r="D14" s="21">
        <v>92</v>
      </c>
      <c r="E14" s="22">
        <f>C14-B14</f>
        <v>13.5</v>
      </c>
      <c r="F14" s="22">
        <f>D14-B14</f>
        <v>20.5</v>
      </c>
      <c r="G14" s="10" t="s">
        <v>1905</v>
      </c>
      <c r="H14" s="10" t="s">
        <v>1926</v>
      </c>
      <c r="I14" s="8" t="str">
        <f>HYPERLINK("https://he-eppat.vercel.app/Backlog-HE-ONBOARDING-Prototype.html","https://he-eppat.vercel.app/Backlog-HE-ONBOARDING-Prototype.html")</f>
        <v>https://he-eppat.vercel.app/Backlog-HE-ONBOARDING-Prototype.html</v>
      </c>
    </row>
    <row r="15" spans="1:9" x14ac:dyDescent="0.25">
      <c r="A15" s="10" t="s">
        <v>1927</v>
      </c>
      <c r="B15" s="21">
        <v>79.5</v>
      </c>
      <c r="C15" s="21">
        <v>88</v>
      </c>
      <c r="D15" s="21">
        <v>95</v>
      </c>
      <c r="E15" s="22">
        <f>C15-B15</f>
        <v>8.5</v>
      </c>
      <c r="F15" s="22">
        <f>D15-B15</f>
        <v>15.5</v>
      </c>
      <c r="G15" s="10" t="s">
        <v>1920</v>
      </c>
      <c r="H15" s="10" t="s">
        <v>1925</v>
      </c>
      <c r="I15" s="8" t="str">
        <f>HYPERLINK("https://he-eppat.vercel.app/Backlog-HE-USER-Prototype.html","https://he-eppat.vercel.app/Backlog-HE-USER-Prototype.html")</f>
        <v>https://he-eppat.vercel.app/Backlog-HE-USER-Prototype.html</v>
      </c>
    </row>
    <row r="16" spans="1:9" x14ac:dyDescent="0.25">
      <c r="A16" s="10" t="s">
        <v>954</v>
      </c>
      <c r="B16" s="21">
        <v>91.7</v>
      </c>
      <c r="C16" s="21">
        <v>93</v>
      </c>
      <c r="D16" s="21">
        <v>97</v>
      </c>
      <c r="E16" s="22">
        <f>C16-B16</f>
        <v>1.2999999999999972</v>
      </c>
      <c r="F16" s="22">
        <f>D16-B16</f>
        <v>5.299999999999997</v>
      </c>
      <c r="G16" s="10" t="s">
        <v>1920</v>
      </c>
      <c r="H16" s="10" t="s">
        <v>1925</v>
      </c>
      <c r="I16" s="8" t="str">
        <f>HYPERLINK("https://he-eppat.vercel.app/Backlog-HE-ONBOARDING-Prototype.html","https://he-eppat.vercel.app/Backlog-HE-ONBOARDING-Prototype.html")</f>
        <v>https://he-eppat.vercel.app/Backlog-HE-ONBOARDING-Prototype.html</v>
      </c>
    </row>
    <row r="17" spans="1:9" x14ac:dyDescent="0.25">
      <c r="A17" s="28" t="s">
        <v>1928</v>
      </c>
      <c r="B17" s="29">
        <f>AVERAGE(B5,B6,B7,B10,B11,B12,B13,B14,B15,B16,B8)</f>
        <v>58.2</v>
      </c>
      <c r="C17" s="29">
        <f>AVERAGE(C5,C6,C7,C10,C11,C12,C13,C14,C15,C16,C8)</f>
        <v>81.2</v>
      </c>
      <c r="D17" s="29">
        <f>AVERAGE(D5,D6,D7,D10,D11,D12,D13,D14,D15,D16,D8)</f>
        <v>89.8</v>
      </c>
      <c r="E17" s="30">
        <f>C17-B17</f>
        <v>23</v>
      </c>
      <c r="F17" s="30">
        <f>D17-B17</f>
        <v>31.6</v>
      </c>
      <c r="G17" s="28" t="s">
        <v>27</v>
      </c>
      <c r="H17" s="28" t="s">
        <v>1929</v>
      </c>
      <c r="I17" s="28" t="s">
        <v>27</v>
      </c>
    </row>
    <row r="18" spans="1:9" x14ac:dyDescent="0.25">
      <c r="A18" s="28" t="s">
        <v>1930</v>
      </c>
      <c r="B18" s="29">
        <f>AVERAGE(B5,B6,B7,B10,B11,B12,B13,B14,B15,B16,B9)</f>
        <v>58.2</v>
      </c>
      <c r="C18" s="29">
        <f>AVERAGE(C5,C6,C7,C10,C11,C12,C13,C14,C15,C16,C9)</f>
        <v>82.1</v>
      </c>
      <c r="D18" s="29">
        <f>AVERAGE(D5,D6,D7,D10,D11,D12,D13,D14,D15,D16,D9)</f>
        <v>90.3</v>
      </c>
      <c r="E18" s="30">
        <f>C18-B18</f>
        <v>23.9</v>
      </c>
      <c r="F18" s="30">
        <f>D18-B18</f>
        <v>32.1</v>
      </c>
      <c r="G18" s="28" t="s">
        <v>27</v>
      </c>
      <c r="H18" s="28" t="s">
        <v>1931</v>
      </c>
      <c r="I18" s="28" t="s">
        <v>27</v>
      </c>
    </row>
    <row r="20" ht="30" customHeight="1" spans="1:9" x14ac:dyDescent="0.25">
      <c r="A20" s="4" t="s">
        <v>523</v>
      </c>
      <c r="B20" s="4" t="s">
        <v>1897</v>
      </c>
      <c r="C20" s="4" t="s">
        <v>1898</v>
      </c>
      <c r="D20" s="4" t="s">
        <v>1899</v>
      </c>
      <c r="E20" s="4" t="s">
        <v>1900</v>
      </c>
      <c r="F20" s="4" t="s">
        <v>1901</v>
      </c>
      <c r="G20" s="4" t="s">
        <v>27</v>
      </c>
      <c r="H20" s="4" t="s">
        <v>1932</v>
      </c>
      <c r="I20" s="4" t="s">
        <v>27</v>
      </c>
    </row>
    <row r="21" spans="1:9" x14ac:dyDescent="0.25">
      <c r="A21" s="6" t="s">
        <v>1933</v>
      </c>
      <c r="B21" s="31">
        <v>85.9</v>
      </c>
      <c r="C21" s="31">
        <v>90</v>
      </c>
      <c r="D21" s="31">
        <v>97</v>
      </c>
      <c r="E21" s="32">
        <f>C21-B21</f>
        <v>4.099999999999994</v>
      </c>
      <c r="F21" s="32">
        <f>D21-B21</f>
        <v>11.099999999999994</v>
      </c>
      <c r="G21" s="6" t="s">
        <v>27</v>
      </c>
      <c r="H21" s="6" t="s">
        <v>1934</v>
      </c>
      <c r="I21" s="6" t="s">
        <v>27</v>
      </c>
    </row>
    <row r="22" spans="1:9" x14ac:dyDescent="0.25">
      <c r="A22" s="6" t="s">
        <v>1935</v>
      </c>
      <c r="B22" s="31">
        <v>49.1</v>
      </c>
      <c r="C22" s="31">
        <v>80</v>
      </c>
      <c r="D22" s="31">
        <v>94</v>
      </c>
      <c r="E22" s="32">
        <f>C22-B22</f>
        <v>30.9</v>
      </c>
      <c r="F22" s="32">
        <f>D22-B22</f>
        <v>44.9</v>
      </c>
      <c r="G22" s="6" t="s">
        <v>27</v>
      </c>
      <c r="H22" s="6" t="s">
        <v>1936</v>
      </c>
      <c r="I22" s="6" t="s">
        <v>27</v>
      </c>
    </row>
    <row r="23" spans="1:9" x14ac:dyDescent="0.25">
      <c r="A23" s="6" t="s">
        <v>1937</v>
      </c>
      <c r="B23" s="31">
        <v>65.9</v>
      </c>
      <c r="C23" s="31">
        <v>82</v>
      </c>
      <c r="D23" s="31">
        <v>92</v>
      </c>
      <c r="E23" s="32">
        <f>C23-B23</f>
        <v>16.099999999999994</v>
      </c>
      <c r="F23" s="32">
        <f>D23-B23</f>
        <v>26.099999999999994</v>
      </c>
      <c r="G23" s="6" t="s">
        <v>27</v>
      </c>
      <c r="H23" s="6" t="s">
        <v>1938</v>
      </c>
      <c r="I23" s="6" t="s">
        <v>27</v>
      </c>
    </row>
    <row r="24" spans="1:9" x14ac:dyDescent="0.25">
      <c r="A24" s="6" t="s">
        <v>1939</v>
      </c>
      <c r="B24" s="31">
        <v>48.8</v>
      </c>
      <c r="C24" s="31">
        <v>80</v>
      </c>
      <c r="D24" s="31">
        <v>92</v>
      </c>
      <c r="E24" s="32">
        <f>C24-B24</f>
        <v>31.200000000000003</v>
      </c>
      <c r="F24" s="32">
        <f>D24-B24</f>
        <v>43.2</v>
      </c>
      <c r="G24" s="6" t="s">
        <v>27</v>
      </c>
      <c r="H24" s="6" t="s">
        <v>1940</v>
      </c>
      <c r="I24" s="6" t="s">
        <v>27</v>
      </c>
    </row>
    <row r="25" spans="1:9" x14ac:dyDescent="0.25">
      <c r="A25" s="6" t="s">
        <v>1941</v>
      </c>
      <c r="B25" s="31">
        <v>62.7</v>
      </c>
      <c r="C25" s="31">
        <v>82</v>
      </c>
      <c r="D25" s="31">
        <v>91</v>
      </c>
      <c r="E25" s="32">
        <f>C25-B25</f>
        <v>19.299999999999997</v>
      </c>
      <c r="F25" s="32">
        <f>D25-B25</f>
        <v>28.299999999999997</v>
      </c>
      <c r="G25" s="6" t="s">
        <v>27</v>
      </c>
      <c r="H25" s="6" t="s">
        <v>1942</v>
      </c>
      <c r="I25" s="6" t="s">
        <v>27</v>
      </c>
    </row>
    <row r="26" spans="1:9" x14ac:dyDescent="0.25">
      <c r="A26" s="6" t="s">
        <v>1943</v>
      </c>
      <c r="B26" s="31">
        <v>40.9</v>
      </c>
      <c r="C26" s="31">
        <v>75</v>
      </c>
      <c r="D26" s="31">
        <v>90</v>
      </c>
      <c r="E26" s="32">
        <f>C26-B26</f>
        <v>34.1</v>
      </c>
      <c r="F26" s="32">
        <f>D26-B26</f>
        <v>49.1</v>
      </c>
      <c r="G26" s="6" t="s">
        <v>27</v>
      </c>
      <c r="H26" s="6" t="s">
        <v>1944</v>
      </c>
      <c r="I26" s="6" t="s">
        <v>27</v>
      </c>
    </row>
    <row r="27" spans="1:9" x14ac:dyDescent="0.25">
      <c r="A27" s="6" t="s">
        <v>1945</v>
      </c>
      <c r="B27" s="31">
        <v>68.9</v>
      </c>
      <c r="C27" s="31">
        <v>82</v>
      </c>
      <c r="D27" s="31">
        <v>93</v>
      </c>
      <c r="E27" s="32">
        <f>C27-B27</f>
        <v>13.099999999999994</v>
      </c>
      <c r="F27" s="32">
        <f>D27-B27</f>
        <v>24.099999999999994</v>
      </c>
      <c r="G27" s="6" t="s">
        <v>27</v>
      </c>
      <c r="H27" s="6" t="s">
        <v>1946</v>
      </c>
      <c r="I27" s="6" t="s">
        <v>27</v>
      </c>
    </row>
    <row r="28" spans="1:9" x14ac:dyDescent="0.25">
      <c r="A28" s="6" t="s">
        <v>1947</v>
      </c>
      <c r="B28" s="31">
        <v>56.4</v>
      </c>
      <c r="C28" s="31">
        <v>70</v>
      </c>
      <c r="D28" s="31">
        <v>79</v>
      </c>
      <c r="E28" s="32">
        <f>C28-B28</f>
        <v>13.600000000000001</v>
      </c>
      <c r="F28" s="32">
        <f>D28-B28</f>
        <v>22.6</v>
      </c>
      <c r="G28" s="6" t="s">
        <v>27</v>
      </c>
      <c r="H28" s="6" t="s">
        <v>1948</v>
      </c>
      <c r="I28" s="6" t="s">
        <v>27</v>
      </c>
    </row>
    <row r="29" spans="1:9" x14ac:dyDescent="0.25">
      <c r="A29" s="6" t="s">
        <v>1949</v>
      </c>
      <c r="B29" s="31">
        <v>60.6</v>
      </c>
      <c r="C29" s="31">
        <v>80</v>
      </c>
      <c r="D29" s="31">
        <v>92</v>
      </c>
      <c r="E29" s="32">
        <f>C29-B29</f>
        <v>19.4</v>
      </c>
      <c r="F29" s="32">
        <f>D29-B29</f>
        <v>31.4</v>
      </c>
      <c r="G29" s="6" t="s">
        <v>27</v>
      </c>
      <c r="H29" s="6" t="s">
        <v>1950</v>
      </c>
      <c r="I29" s="6" t="s">
        <v>27</v>
      </c>
    </row>
    <row r="30" spans="1:9" x14ac:dyDescent="0.25">
      <c r="A30" s="6" t="s">
        <v>1951</v>
      </c>
      <c r="B30" s="31">
        <v>10.6</v>
      </c>
      <c r="C30" s="31">
        <v>70</v>
      </c>
      <c r="D30" s="31">
        <v>85</v>
      </c>
      <c r="E30" s="32">
        <f>C30-B30</f>
        <v>59.4</v>
      </c>
      <c r="F30" s="32">
        <f>D30-B30</f>
        <v>74.4</v>
      </c>
      <c r="G30" s="6" t="s">
        <v>27</v>
      </c>
      <c r="H30" s="6" t="s">
        <v>1952</v>
      </c>
      <c r="I30" s="6" t="s">
        <v>27</v>
      </c>
    </row>
    <row r="31" spans="1:9" x14ac:dyDescent="0.25">
      <c r="A31" s="6" t="s">
        <v>1953</v>
      </c>
      <c r="B31" s="31">
        <v>90.9</v>
      </c>
      <c r="C31" s="31">
        <v>91</v>
      </c>
      <c r="D31" s="31">
        <v>95</v>
      </c>
      <c r="E31" s="32">
        <f>C31-B31</f>
        <v>0.09999999999999432</v>
      </c>
      <c r="F31" s="32">
        <f>D31-B31</f>
        <v>4.099999999999994</v>
      </c>
      <c r="G31" s="6" t="s">
        <v>27</v>
      </c>
      <c r="H31" s="6" t="s">
        <v>1954</v>
      </c>
      <c r="I31" s="6" t="s">
        <v>27</v>
      </c>
    </row>
    <row r="33" spans="1:1" x14ac:dyDescent="0.25">
      <c r="A33" s="33" t="s">
        <v>1955</v>
      </c>
    </row>
    <row r="34" ht="28" customHeight="1" spans="1:9" x14ac:dyDescent="0.25">
      <c r="A34" s="34" t="s">
        <v>1956</v>
      </c>
      <c r="B34" s="34"/>
      <c r="C34" s="34"/>
      <c r="D34" s="34"/>
      <c r="E34" s="34"/>
      <c r="F34" s="34"/>
      <c r="G34" s="34"/>
      <c r="H34" s="34"/>
      <c r="I34" s="34"/>
    </row>
    <row r="35" ht="28" customHeight="1" spans="1:9" x14ac:dyDescent="0.25">
      <c r="A35" s="34" t="s">
        <v>1957</v>
      </c>
      <c r="B35" s="34"/>
      <c r="C35" s="34"/>
      <c r="D35" s="34"/>
      <c r="E35" s="34"/>
      <c r="F35" s="34"/>
      <c r="G35" s="34"/>
      <c r="H35" s="34"/>
      <c r="I35" s="34"/>
    </row>
    <row r="36" ht="28" customHeight="1" spans="1:9" x14ac:dyDescent="0.25">
      <c r="A36" s="34" t="s">
        <v>1958</v>
      </c>
      <c r="B36" s="34"/>
      <c r="C36" s="34"/>
      <c r="D36" s="34"/>
      <c r="E36" s="34"/>
      <c r="F36" s="34"/>
      <c r="G36" s="34"/>
      <c r="H36" s="34"/>
      <c r="I36" s="34"/>
    </row>
    <row r="37" ht="28" customHeight="1" spans="1:9" x14ac:dyDescent="0.25">
      <c r="A37" s="34" t="s">
        <v>1959</v>
      </c>
      <c r="B37" s="34"/>
      <c r="C37" s="34"/>
      <c r="D37" s="34"/>
      <c r="E37" s="34"/>
      <c r="F37" s="34"/>
      <c r="G37" s="34"/>
      <c r="H37" s="34"/>
      <c r="I37" s="34"/>
    </row>
  </sheetData>
  <mergeCells count="6">
    <mergeCell ref="A1:I1"/>
    <mergeCell ref="A2:I2"/>
    <mergeCell ref="A34:I34"/>
    <mergeCell ref="A35:I35"/>
    <mergeCell ref="A36:I36"/>
    <mergeCell ref="A37:I37"/>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3"/>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1960</v>
      </c>
      <c r="B1" s="1"/>
      <c r="C1" s="1"/>
      <c r="D1" s="1"/>
    </row>
    <row r="2" spans="1:4" x14ac:dyDescent="0.25">
      <c r="A2" s="2" t="s">
        <v>1961</v>
      </c>
      <c r="B2" s="2"/>
      <c r="C2" s="2"/>
      <c r="D2" s="2"/>
    </row>
    <row r="4" ht="30" customHeight="1" spans="1:4" x14ac:dyDescent="0.25">
      <c r="A4" s="4" t="s">
        <v>1962</v>
      </c>
      <c r="B4" s="4" t="s">
        <v>517</v>
      </c>
      <c r="C4" s="4" t="s">
        <v>1963</v>
      </c>
      <c r="D4" s="4" t="s">
        <v>1964</v>
      </c>
    </row>
    <row r="5" spans="1:4" x14ac:dyDescent="0.25">
      <c r="A5" s="35">
        <v>46318</v>
      </c>
      <c r="B5" s="6" t="s">
        <v>1965</v>
      </c>
      <c r="C5" s="6" t="s">
        <v>1966</v>
      </c>
      <c r="D5" s="6" t="s">
        <v>1967</v>
      </c>
    </row>
    <row r="6" spans="1:4" x14ac:dyDescent="0.25">
      <c r="A6" s="35">
        <v>46318</v>
      </c>
      <c r="B6" s="6" t="s">
        <v>1965</v>
      </c>
      <c r="C6" s="6" t="s">
        <v>1968</v>
      </c>
      <c r="D6" s="6" t="s">
        <v>1967</v>
      </c>
    </row>
    <row r="7" spans="1:4" x14ac:dyDescent="0.25">
      <c r="A7" s="35">
        <v>46318</v>
      </c>
      <c r="B7" s="6" t="s">
        <v>22</v>
      </c>
      <c r="C7" s="6" t="s">
        <v>1969</v>
      </c>
      <c r="D7" s="6" t="s">
        <v>1970</v>
      </c>
    </row>
    <row r="8" spans="1:4" x14ac:dyDescent="0.25">
      <c r="A8" s="35">
        <v>46318</v>
      </c>
      <c r="B8" s="6" t="s">
        <v>22</v>
      </c>
      <c r="C8" s="6" t="s">
        <v>1971</v>
      </c>
      <c r="D8" s="6" t="s">
        <v>1972</v>
      </c>
    </row>
    <row r="9" spans="1:4" x14ac:dyDescent="0.25">
      <c r="A9" s="35">
        <v>46318</v>
      </c>
      <c r="B9" s="6" t="s">
        <v>531</v>
      </c>
      <c r="C9" s="6" t="s">
        <v>1973</v>
      </c>
      <c r="D9" s="6" t="s">
        <v>1974</v>
      </c>
    </row>
    <row r="10" spans="1:4" x14ac:dyDescent="0.25">
      <c r="A10" s="35">
        <v>46318</v>
      </c>
      <c r="B10" s="6" t="s">
        <v>1975</v>
      </c>
      <c r="C10" s="6" t="s">
        <v>1976</v>
      </c>
      <c r="D10" s="6" t="s">
        <v>1972</v>
      </c>
    </row>
    <row r="11" spans="1:4" x14ac:dyDescent="0.25">
      <c r="A11" s="35">
        <v>46318</v>
      </c>
      <c r="B11" s="6" t="s">
        <v>1977</v>
      </c>
      <c r="C11" s="6" t="s">
        <v>1978</v>
      </c>
      <c r="D11" s="6" t="s">
        <v>1972</v>
      </c>
    </row>
    <row r="12" spans="1:4" x14ac:dyDescent="0.25">
      <c r="A12" s="35">
        <v>46318</v>
      </c>
      <c r="B12" s="6" t="s">
        <v>598</v>
      </c>
      <c r="C12" s="6" t="s">
        <v>1979</v>
      </c>
      <c r="D12" s="6" t="s">
        <v>1972</v>
      </c>
    </row>
    <row r="13" spans="1:4" x14ac:dyDescent="0.25">
      <c r="A13" s="35">
        <v>46318</v>
      </c>
      <c r="B13" s="6" t="s">
        <v>1980</v>
      </c>
      <c r="C13" s="6" t="s">
        <v>1981</v>
      </c>
      <c r="D13" s="6" t="s">
        <v>1982</v>
      </c>
    </row>
    <row r="14" spans="1:4" x14ac:dyDescent="0.25">
      <c r="A14" s="35">
        <v>46318</v>
      </c>
      <c r="B14" s="6" t="s">
        <v>1983</v>
      </c>
      <c r="C14" s="6" t="s">
        <v>1984</v>
      </c>
      <c r="D14" s="6" t="s">
        <v>1982</v>
      </c>
    </row>
    <row r="15" spans="1:4" x14ac:dyDescent="0.25">
      <c r="A15" s="35">
        <v>46318</v>
      </c>
      <c r="B15" s="6" t="s">
        <v>22</v>
      </c>
      <c r="C15" s="6" t="s">
        <v>1985</v>
      </c>
      <c r="D15" s="6" t="s">
        <v>1986</v>
      </c>
    </row>
    <row r="16" spans="1:4" x14ac:dyDescent="0.25">
      <c r="A16" s="35">
        <v>46318</v>
      </c>
      <c r="B16" s="6" t="s">
        <v>22</v>
      </c>
      <c r="C16" s="6" t="s">
        <v>1987</v>
      </c>
      <c r="D16" s="6" t="s">
        <v>1988</v>
      </c>
    </row>
    <row r="17" spans="1:4" x14ac:dyDescent="0.25">
      <c r="A17" s="35">
        <v>46318</v>
      </c>
      <c r="B17" s="6" t="s">
        <v>91</v>
      </c>
      <c r="C17" s="6" t="s">
        <v>1989</v>
      </c>
      <c r="D17" s="6" t="s">
        <v>1986</v>
      </c>
    </row>
    <row r="18" spans="1:4" x14ac:dyDescent="0.25">
      <c r="A18" s="35">
        <v>46318</v>
      </c>
      <c r="B18" s="6" t="s">
        <v>91</v>
      </c>
      <c r="C18" s="6" t="s">
        <v>1990</v>
      </c>
      <c r="D18" s="6" t="s">
        <v>1986</v>
      </c>
    </row>
    <row r="19" spans="1:4" x14ac:dyDescent="0.25">
      <c r="A19" s="35">
        <v>46318</v>
      </c>
      <c r="B19" s="6" t="s">
        <v>22</v>
      </c>
      <c r="C19" s="6" t="s">
        <v>1991</v>
      </c>
      <c r="D19" s="6" t="s">
        <v>1992</v>
      </c>
    </row>
    <row r="20" spans="1:4" x14ac:dyDescent="0.25">
      <c r="A20" s="35">
        <v>46318</v>
      </c>
      <c r="B20" s="6" t="s">
        <v>1993</v>
      </c>
      <c r="C20" s="6" t="s">
        <v>1994</v>
      </c>
      <c r="D20" s="6" t="s">
        <v>1995</v>
      </c>
    </row>
    <row r="21" spans="1:4" x14ac:dyDescent="0.25">
      <c r="A21" s="35">
        <v>46318</v>
      </c>
      <c r="B21" s="6" t="s">
        <v>22</v>
      </c>
      <c r="C21" s="6" t="s">
        <v>1996</v>
      </c>
      <c r="D21" s="6" t="s">
        <v>1997</v>
      </c>
    </row>
    <row r="22" spans="1:4" x14ac:dyDescent="0.25">
      <c r="A22" s="35">
        <v>46318</v>
      </c>
      <c r="B22" s="6" t="s">
        <v>1998</v>
      </c>
      <c r="C22" s="6" t="s">
        <v>1999</v>
      </c>
      <c r="D22" s="6" t="s">
        <v>2000</v>
      </c>
    </row>
    <row r="23" spans="1:4" x14ac:dyDescent="0.25">
      <c r="A23" s="35">
        <v>46318</v>
      </c>
      <c r="B23" s="6" t="s">
        <v>2001</v>
      </c>
      <c r="C23" s="6" t="s">
        <v>2002</v>
      </c>
      <c r="D23" s="6" t="s">
        <v>2003</v>
      </c>
    </row>
    <row r="24" spans="1:4" x14ac:dyDescent="0.25">
      <c r="A24" s="35">
        <v>46321</v>
      </c>
      <c r="B24" s="6" t="s">
        <v>1998</v>
      </c>
      <c r="C24" s="6" t="s">
        <v>2004</v>
      </c>
      <c r="D24" s="6" t="s">
        <v>2005</v>
      </c>
    </row>
    <row r="25" spans="1:4" x14ac:dyDescent="0.25">
      <c r="A25" s="35">
        <v>46321</v>
      </c>
      <c r="B25" s="6" t="s">
        <v>2006</v>
      </c>
      <c r="C25" s="6" t="s">
        <v>2007</v>
      </c>
      <c r="D25" s="6" t="s">
        <v>2008</v>
      </c>
    </row>
    <row r="26" spans="1:4" x14ac:dyDescent="0.25">
      <c r="A26" s="35">
        <v>46321</v>
      </c>
      <c r="B26" s="6" t="s">
        <v>22</v>
      </c>
      <c r="C26" s="6" t="s">
        <v>2009</v>
      </c>
      <c r="D26" s="6" t="s">
        <v>2010</v>
      </c>
    </row>
    <row r="27" spans="1:4" x14ac:dyDescent="0.25">
      <c r="A27" s="35">
        <v>46321</v>
      </c>
      <c r="B27" s="6" t="s">
        <v>2011</v>
      </c>
      <c r="C27" s="6" t="s">
        <v>2012</v>
      </c>
      <c r="D27" s="6" t="s">
        <v>2013</v>
      </c>
    </row>
    <row r="28" spans="1:4" x14ac:dyDescent="0.25">
      <c r="A28" s="35">
        <v>46321</v>
      </c>
      <c r="B28" s="6" t="s">
        <v>777</v>
      </c>
      <c r="C28" s="6" t="s">
        <v>2014</v>
      </c>
      <c r="D28" s="6" t="s">
        <v>2013</v>
      </c>
    </row>
    <row r="29" spans="1:4" x14ac:dyDescent="0.25">
      <c r="A29" s="35">
        <v>46321</v>
      </c>
      <c r="B29" s="6" t="s">
        <v>811</v>
      </c>
      <c r="C29" s="6" t="s">
        <v>2015</v>
      </c>
      <c r="D29" s="6" t="s">
        <v>2016</v>
      </c>
    </row>
    <row r="30" spans="1:4" x14ac:dyDescent="0.25">
      <c r="A30" s="35">
        <v>46321</v>
      </c>
      <c r="B30" s="6" t="s">
        <v>819</v>
      </c>
      <c r="C30" s="6" t="s">
        <v>2017</v>
      </c>
      <c r="D30" s="6" t="s">
        <v>2016</v>
      </c>
    </row>
    <row r="31" spans="1:4" x14ac:dyDescent="0.25">
      <c r="A31" s="35">
        <v>46321</v>
      </c>
      <c r="B31" s="6" t="s">
        <v>22</v>
      </c>
      <c r="C31" s="6" t="s">
        <v>2018</v>
      </c>
      <c r="D31" s="6" t="s">
        <v>2019</v>
      </c>
    </row>
    <row r="32" spans="1:4" x14ac:dyDescent="0.25">
      <c r="A32" s="35">
        <v>46321</v>
      </c>
      <c r="B32" s="6" t="s">
        <v>22</v>
      </c>
      <c r="C32" s="6" t="s">
        <v>2020</v>
      </c>
      <c r="D32" s="6" t="s">
        <v>2021</v>
      </c>
    </row>
    <row r="33" spans="1:4" x14ac:dyDescent="0.25">
      <c r="A33" s="35">
        <v>46321</v>
      </c>
      <c r="B33" s="6" t="s">
        <v>2022</v>
      </c>
      <c r="C33" s="6" t="s">
        <v>2023</v>
      </c>
      <c r="D33" s="6" t="s">
        <v>2024</v>
      </c>
    </row>
    <row r="34" spans="1:4" x14ac:dyDescent="0.25">
      <c r="A34" s="35">
        <v>46321</v>
      </c>
      <c r="B34" s="6" t="s">
        <v>2025</v>
      </c>
      <c r="C34" s="6" t="s">
        <v>2026</v>
      </c>
      <c r="D34" s="6" t="s">
        <v>2024</v>
      </c>
    </row>
    <row r="35" spans="1:4" x14ac:dyDescent="0.25">
      <c r="A35" s="35">
        <v>46321</v>
      </c>
      <c r="B35" s="6" t="s">
        <v>745</v>
      </c>
      <c r="C35" s="6" t="s">
        <v>2027</v>
      </c>
      <c r="D35" s="6" t="s">
        <v>2028</v>
      </c>
    </row>
    <row r="36" spans="1:4" x14ac:dyDescent="0.25">
      <c r="A36" s="35">
        <v>46321</v>
      </c>
      <c r="B36" s="6" t="s">
        <v>836</v>
      </c>
      <c r="C36" s="6" t="s">
        <v>2029</v>
      </c>
      <c r="D36" s="6" t="s">
        <v>2024</v>
      </c>
    </row>
    <row r="37" spans="1:4" x14ac:dyDescent="0.25">
      <c r="A37" s="35">
        <v>46321</v>
      </c>
      <c r="B37" s="6" t="s">
        <v>2030</v>
      </c>
      <c r="C37" s="6" t="s">
        <v>2031</v>
      </c>
      <c r="D37" s="6" t="s">
        <v>2032</v>
      </c>
    </row>
    <row r="38" spans="1:4" x14ac:dyDescent="0.25">
      <c r="A38" s="35">
        <v>46321</v>
      </c>
      <c r="B38" s="6" t="s">
        <v>2033</v>
      </c>
      <c r="C38" s="6" t="s">
        <v>2034</v>
      </c>
      <c r="D38" s="6" t="s">
        <v>2035</v>
      </c>
    </row>
    <row r="39" spans="1:4" x14ac:dyDescent="0.25">
      <c r="A39" s="35">
        <v>46321</v>
      </c>
      <c r="B39" s="6" t="s">
        <v>2036</v>
      </c>
      <c r="C39" s="6" t="s">
        <v>2037</v>
      </c>
      <c r="D39" s="6" t="s">
        <v>2038</v>
      </c>
    </row>
    <row r="40" spans="1:4" x14ac:dyDescent="0.25">
      <c r="A40" s="35">
        <v>46321</v>
      </c>
      <c r="B40" s="6" t="s">
        <v>2039</v>
      </c>
      <c r="C40" s="6" t="s">
        <v>2040</v>
      </c>
      <c r="D40" s="6" t="s">
        <v>1974</v>
      </c>
    </row>
    <row r="41" spans="1:4" x14ac:dyDescent="0.25">
      <c r="A41" s="35">
        <v>46321</v>
      </c>
      <c r="B41" s="6" t="s">
        <v>2041</v>
      </c>
      <c r="C41" s="6" t="s">
        <v>2042</v>
      </c>
      <c r="D41" s="6" t="s">
        <v>2043</v>
      </c>
    </row>
    <row r="42" spans="1:4" x14ac:dyDescent="0.25">
      <c r="A42" s="35">
        <v>46321</v>
      </c>
      <c r="B42" s="6" t="s">
        <v>2044</v>
      </c>
      <c r="C42" s="6" t="s">
        <v>2045</v>
      </c>
      <c r="D42" s="6" t="s">
        <v>2046</v>
      </c>
    </row>
    <row r="43" spans="1:4" x14ac:dyDescent="0.25">
      <c r="A43" s="35">
        <v>46321</v>
      </c>
      <c r="B43" s="6" t="s">
        <v>101</v>
      </c>
      <c r="C43" s="6" t="s">
        <v>2047</v>
      </c>
      <c r="D43" s="6" t="s">
        <v>2048</v>
      </c>
    </row>
    <row r="44" spans="1:4" x14ac:dyDescent="0.25">
      <c r="A44" s="35">
        <v>46321</v>
      </c>
      <c r="B44" s="6" t="s">
        <v>2049</v>
      </c>
      <c r="C44" s="6" t="s">
        <v>2050</v>
      </c>
      <c r="D44" s="6" t="s">
        <v>1982</v>
      </c>
    </row>
    <row r="45" spans="1:4" x14ac:dyDescent="0.25">
      <c r="A45" s="35">
        <v>46321</v>
      </c>
      <c r="B45" s="6" t="s">
        <v>2051</v>
      </c>
      <c r="C45" s="6" t="s">
        <v>2052</v>
      </c>
      <c r="D45" s="6" t="s">
        <v>2053</v>
      </c>
    </row>
    <row r="46" spans="1:4" x14ac:dyDescent="0.25">
      <c r="A46" s="35">
        <v>46321</v>
      </c>
      <c r="B46" s="6" t="s">
        <v>22</v>
      </c>
      <c r="C46" s="6" t="s">
        <v>2054</v>
      </c>
      <c r="D46" s="6" t="s">
        <v>40</v>
      </c>
    </row>
    <row r="47" spans="1:4" x14ac:dyDescent="0.25">
      <c r="A47" s="35">
        <v>46321</v>
      </c>
      <c r="B47" s="6" t="s">
        <v>1128</v>
      </c>
      <c r="C47" s="6" t="s">
        <v>2055</v>
      </c>
      <c r="D47" s="6" t="s">
        <v>2053</v>
      </c>
    </row>
    <row r="48" spans="1:4" x14ac:dyDescent="0.25">
      <c r="A48" s="35">
        <v>46321</v>
      </c>
      <c r="B48" s="6" t="s">
        <v>2056</v>
      </c>
      <c r="C48" s="6" t="s">
        <v>2057</v>
      </c>
      <c r="D48" s="6" t="s">
        <v>2058</v>
      </c>
    </row>
    <row r="49" spans="1:4" x14ac:dyDescent="0.25">
      <c r="A49" s="35">
        <v>46321</v>
      </c>
      <c r="B49" s="6" t="s">
        <v>2059</v>
      </c>
      <c r="C49" s="6" t="s">
        <v>2060</v>
      </c>
      <c r="D49" s="6" t="s">
        <v>2061</v>
      </c>
    </row>
    <row r="50" spans="1:4" x14ac:dyDescent="0.25">
      <c r="A50" s="35">
        <v>46321</v>
      </c>
      <c r="B50" s="6" t="s">
        <v>2062</v>
      </c>
      <c r="C50" s="6" t="s">
        <v>2063</v>
      </c>
      <c r="D50" s="6" t="s">
        <v>2064</v>
      </c>
    </row>
    <row r="51" spans="1:4" x14ac:dyDescent="0.25">
      <c r="A51" s="35">
        <v>46321</v>
      </c>
      <c r="B51" s="6" t="s">
        <v>2065</v>
      </c>
      <c r="C51" s="6" t="s">
        <v>2066</v>
      </c>
      <c r="D51" s="6" t="s">
        <v>2067</v>
      </c>
    </row>
    <row r="52" spans="1:4" x14ac:dyDescent="0.25">
      <c r="A52" s="35">
        <v>46321</v>
      </c>
      <c r="B52" s="6" t="s">
        <v>61</v>
      </c>
      <c r="C52" s="6" t="s">
        <v>2068</v>
      </c>
      <c r="D52" s="6" t="s">
        <v>2069</v>
      </c>
    </row>
    <row r="53" spans="1:4" x14ac:dyDescent="0.25">
      <c r="A53" s="35">
        <v>46321</v>
      </c>
      <c r="B53" s="6" t="s">
        <v>2070</v>
      </c>
      <c r="C53" s="6" t="s">
        <v>2071</v>
      </c>
      <c r="D53" s="6" t="s">
        <v>2072</v>
      </c>
    </row>
    <row r="54" spans="1:4" x14ac:dyDescent="0.25">
      <c r="A54" s="35">
        <v>46321</v>
      </c>
      <c r="B54" s="6" t="s">
        <v>2073</v>
      </c>
      <c r="C54" s="6" t="s">
        <v>2074</v>
      </c>
      <c r="D54" s="6" t="s">
        <v>2075</v>
      </c>
    </row>
    <row r="55" spans="1:4" x14ac:dyDescent="0.25">
      <c r="A55" s="35">
        <v>46321</v>
      </c>
      <c r="B55" s="6" t="s">
        <v>1326</v>
      </c>
      <c r="C55" s="6" t="s">
        <v>2076</v>
      </c>
      <c r="D55" s="6" t="s">
        <v>2077</v>
      </c>
    </row>
    <row r="56" spans="1:4" x14ac:dyDescent="0.25">
      <c r="A56" s="35">
        <v>46321</v>
      </c>
      <c r="B56" s="6" t="s">
        <v>1331</v>
      </c>
      <c r="C56" s="6" t="s">
        <v>2078</v>
      </c>
      <c r="D56" s="6" t="s">
        <v>2079</v>
      </c>
    </row>
    <row r="57" spans="1:4" x14ac:dyDescent="0.25">
      <c r="A57" s="35">
        <v>46321</v>
      </c>
      <c r="B57" s="6" t="s">
        <v>2080</v>
      </c>
      <c r="C57" s="6" t="s">
        <v>2081</v>
      </c>
      <c r="D57" s="6" t="s">
        <v>2082</v>
      </c>
    </row>
    <row r="58" spans="1:4" x14ac:dyDescent="0.25">
      <c r="A58" s="35">
        <v>46321</v>
      </c>
      <c r="B58" s="6" t="s">
        <v>2083</v>
      </c>
      <c r="C58" s="6" t="s">
        <v>2084</v>
      </c>
      <c r="D58" s="6" t="s">
        <v>2085</v>
      </c>
    </row>
    <row r="59" spans="1:4" x14ac:dyDescent="0.25">
      <c r="A59" s="35">
        <v>46321</v>
      </c>
      <c r="B59" s="6" t="s">
        <v>2086</v>
      </c>
      <c r="C59" s="6" t="s">
        <v>2087</v>
      </c>
      <c r="D59" s="6" t="s">
        <v>2088</v>
      </c>
    </row>
    <row r="60" spans="1:4" x14ac:dyDescent="0.25">
      <c r="A60" s="35">
        <v>46321</v>
      </c>
      <c r="B60" s="6" t="s">
        <v>2089</v>
      </c>
      <c r="C60" s="6" t="s">
        <v>2090</v>
      </c>
      <c r="D60" s="6" t="s">
        <v>2091</v>
      </c>
    </row>
    <row r="61" spans="1:4" x14ac:dyDescent="0.25">
      <c r="A61" s="35">
        <v>46321</v>
      </c>
      <c r="B61" s="6" t="s">
        <v>2092</v>
      </c>
      <c r="C61" s="6" t="s">
        <v>2093</v>
      </c>
      <c r="D61" s="6" t="s">
        <v>2094</v>
      </c>
    </row>
    <row r="62" spans="1:4" x14ac:dyDescent="0.25">
      <c r="A62" s="35">
        <v>46321</v>
      </c>
      <c r="B62" s="6" t="s">
        <v>2095</v>
      </c>
      <c r="C62" s="6" t="s">
        <v>2096</v>
      </c>
      <c r="D62" s="6" t="s">
        <v>2097</v>
      </c>
    </row>
    <row r="63" spans="1:4" x14ac:dyDescent="0.25">
      <c r="A63" s="35">
        <v>46321</v>
      </c>
      <c r="B63" s="6" t="s">
        <v>2098</v>
      </c>
      <c r="C63" s="6" t="s">
        <v>2099</v>
      </c>
      <c r="D63" s="6" t="s">
        <v>2100</v>
      </c>
    </row>
    <row r="64" spans="1:4" x14ac:dyDescent="0.25">
      <c r="A64" s="35">
        <v>46321</v>
      </c>
      <c r="B64" s="6" t="s">
        <v>2101</v>
      </c>
      <c r="C64" s="6" t="s">
        <v>2102</v>
      </c>
      <c r="D64" s="6" t="s">
        <v>2100</v>
      </c>
    </row>
    <row r="65" spans="1:4" x14ac:dyDescent="0.25">
      <c r="A65" s="35">
        <v>46321</v>
      </c>
      <c r="B65" s="6" t="s">
        <v>2103</v>
      </c>
      <c r="C65" s="6" t="s">
        <v>2104</v>
      </c>
      <c r="D65" s="6" t="s">
        <v>2105</v>
      </c>
    </row>
    <row r="66" spans="1:4" x14ac:dyDescent="0.25">
      <c r="A66" s="35">
        <v>46321</v>
      </c>
      <c r="B66" s="6" t="s">
        <v>2106</v>
      </c>
      <c r="C66" s="6" t="s">
        <v>2107</v>
      </c>
      <c r="D66" s="6" t="s">
        <v>2108</v>
      </c>
    </row>
    <row r="67" spans="1:4" x14ac:dyDescent="0.25">
      <c r="A67" s="35">
        <v>46322</v>
      </c>
      <c r="B67" s="6" t="s">
        <v>1339</v>
      </c>
      <c r="C67" s="6" t="s">
        <v>2109</v>
      </c>
      <c r="D67" s="6" t="s">
        <v>2110</v>
      </c>
    </row>
    <row r="68" spans="1:4" x14ac:dyDescent="0.25">
      <c r="A68" s="35">
        <v>46322</v>
      </c>
      <c r="B68" s="6" t="s">
        <v>1339</v>
      </c>
      <c r="C68" s="6" t="s">
        <v>2111</v>
      </c>
      <c r="D68" s="6" t="s">
        <v>2112</v>
      </c>
    </row>
    <row r="69" spans="1:4" x14ac:dyDescent="0.25">
      <c r="A69" s="35">
        <v>46322</v>
      </c>
      <c r="B69" s="6" t="s">
        <v>2113</v>
      </c>
      <c r="C69" s="6" t="s">
        <v>2114</v>
      </c>
      <c r="D69" s="6" t="s">
        <v>2115</v>
      </c>
    </row>
    <row r="70" spans="1:4" x14ac:dyDescent="0.25">
      <c r="A70" s="35">
        <v>46322</v>
      </c>
      <c r="B70" s="6" t="s">
        <v>712</v>
      </c>
      <c r="C70" s="6" t="s">
        <v>2116</v>
      </c>
      <c r="D70" s="6" t="s">
        <v>2117</v>
      </c>
    </row>
    <row r="71" spans="1:4" x14ac:dyDescent="0.25">
      <c r="A71" s="35">
        <v>46322</v>
      </c>
      <c r="B71" s="6" t="s">
        <v>712</v>
      </c>
      <c r="C71" s="6" t="s">
        <v>2118</v>
      </c>
      <c r="D71" s="6" t="s">
        <v>2119</v>
      </c>
    </row>
    <row r="72" spans="1:4" x14ac:dyDescent="0.25">
      <c r="A72" s="35">
        <v>46322</v>
      </c>
      <c r="B72" s="6" t="s">
        <v>1339</v>
      </c>
      <c r="C72" s="6" t="s">
        <v>2120</v>
      </c>
      <c r="D72" s="6" t="s">
        <v>2121</v>
      </c>
    </row>
    <row r="73" spans="1:4" x14ac:dyDescent="0.25">
      <c r="A73" s="35">
        <v>46322</v>
      </c>
      <c r="B73" s="6" t="s">
        <v>22</v>
      </c>
      <c r="C73" s="6" t="s">
        <v>2122</v>
      </c>
      <c r="D73" s="6" t="s">
        <v>2123</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1"/>
  <sheetFormatPr defaultRowHeight="15" outlineLevelRow="0" outlineLevelCol="0" x14ac:dyDescent="55"/>
  <cols>
    <col min="1" max="1" width="30" customWidth="1"/>
    <col min="2" max="2" width="90" customWidth="1"/>
  </cols>
  <sheetData>
    <row r="1" ht="22" customHeight="1" spans="1:2" x14ac:dyDescent="0.25">
      <c r="A1" s="1" t="s">
        <v>2124</v>
      </c>
      <c r="B1" s="1"/>
    </row>
    <row r="2" spans="1:2" x14ac:dyDescent="0.25">
      <c r="A2" s="2" t="s">
        <v>2125</v>
      </c>
      <c r="B2" s="2"/>
    </row>
    <row r="4" spans="1:2" x14ac:dyDescent="0.25">
      <c r="A4" s="36" t="s">
        <v>2126</v>
      </c>
      <c r="B4" s="36" t="s">
        <v>27</v>
      </c>
    </row>
    <row r="5" spans="1:2" x14ac:dyDescent="0.25">
      <c r="A5" s="37" t="s">
        <v>2127</v>
      </c>
      <c r="B5" s="37" t="s">
        <v>2128</v>
      </c>
    </row>
    <row r="6" spans="1:2" x14ac:dyDescent="0.25">
      <c r="A6" s="37" t="s">
        <v>1881</v>
      </c>
      <c r="B6" s="37" t="s">
        <v>2129</v>
      </c>
    </row>
    <row r="7" spans="1:2" x14ac:dyDescent="0.25">
      <c r="A7" s="37" t="s">
        <v>2130</v>
      </c>
      <c r="B7" s="37" t="s">
        <v>2131</v>
      </c>
    </row>
    <row r="8" spans="1:2" x14ac:dyDescent="0.25">
      <c r="A8" s="37" t="s">
        <v>2132</v>
      </c>
      <c r="B8" s="37" t="s">
        <v>2133</v>
      </c>
    </row>
    <row r="9" spans="1:2" x14ac:dyDescent="0.25">
      <c r="A9" s="37" t="s">
        <v>2134</v>
      </c>
      <c r="B9" s="37" t="s">
        <v>2135</v>
      </c>
    </row>
    <row r="10" spans="1:2" x14ac:dyDescent="0.25">
      <c r="A10" s="37" t="s">
        <v>2136</v>
      </c>
      <c r="B10" s="37" t="s">
        <v>2137</v>
      </c>
    </row>
    <row r="11" spans="1:2" x14ac:dyDescent="0.25">
      <c r="A11" s="37" t="s">
        <v>2138</v>
      </c>
      <c r="B11" s="37" t="s">
        <v>2139</v>
      </c>
    </row>
    <row r="12" spans="1:2" x14ac:dyDescent="0.25">
      <c r="A12" s="37" t="s">
        <v>2140</v>
      </c>
      <c r="B12" s="37" t="s">
        <v>2141</v>
      </c>
    </row>
    <row r="13" spans="1:2" x14ac:dyDescent="0.25">
      <c r="A13" s="37" t="s">
        <v>27</v>
      </c>
      <c r="B13" s="37" t="s">
        <v>27</v>
      </c>
    </row>
    <row r="14" spans="1:2" x14ac:dyDescent="0.25">
      <c r="A14" s="36" t="s">
        <v>2142</v>
      </c>
      <c r="B14" s="36" t="s">
        <v>27</v>
      </c>
    </row>
    <row r="15" spans="1:2" x14ac:dyDescent="0.25">
      <c r="A15" s="37" t="s">
        <v>2143</v>
      </c>
      <c r="B15" s="37" t="s">
        <v>2144</v>
      </c>
    </row>
    <row r="16" spans="1:2" x14ac:dyDescent="0.25">
      <c r="A16" s="37" t="s">
        <v>2145</v>
      </c>
      <c r="B16" s="37" t="s">
        <v>2146</v>
      </c>
    </row>
    <row r="17" spans="1:2" x14ac:dyDescent="0.25">
      <c r="A17" s="37" t="s">
        <v>2147</v>
      </c>
      <c r="B17" s="37" t="s">
        <v>2148</v>
      </c>
    </row>
    <row r="18" spans="1:2" x14ac:dyDescent="0.25">
      <c r="A18" s="37" t="s">
        <v>517</v>
      </c>
      <c r="B18" s="37" t="s">
        <v>2149</v>
      </c>
    </row>
    <row r="19" spans="1:2" x14ac:dyDescent="0.25">
      <c r="A19" s="37" t="s">
        <v>8</v>
      </c>
      <c r="B19" s="37" t="s">
        <v>2150</v>
      </c>
    </row>
    <row r="20" spans="1:2" x14ac:dyDescent="0.25">
      <c r="A20" s="37" t="s">
        <v>27</v>
      </c>
      <c r="B20" s="37" t="s">
        <v>27</v>
      </c>
    </row>
    <row r="21" spans="1:2" x14ac:dyDescent="0.25">
      <c r="A21" s="36" t="s">
        <v>528</v>
      </c>
      <c r="B21" s="36" t="s">
        <v>27</v>
      </c>
    </row>
    <row r="22" spans="1:2" x14ac:dyDescent="0.25">
      <c r="A22" s="37" t="s">
        <v>1886</v>
      </c>
      <c r="B22" s="37" t="s">
        <v>2151</v>
      </c>
    </row>
    <row r="23" spans="1:2" x14ac:dyDescent="0.25">
      <c r="A23" s="37" t="s">
        <v>541</v>
      </c>
      <c r="B23" s="37" t="s">
        <v>2152</v>
      </c>
    </row>
    <row r="24" spans="1:2" x14ac:dyDescent="0.25">
      <c r="A24" s="37" t="s">
        <v>550</v>
      </c>
      <c r="B24" s="37" t="s">
        <v>2153</v>
      </c>
    </row>
    <row r="25" spans="1:2" x14ac:dyDescent="0.25">
      <c r="A25" s="37" t="s">
        <v>1887</v>
      </c>
      <c r="B25" s="37" t="s">
        <v>2154</v>
      </c>
    </row>
    <row r="26" spans="1:2" x14ac:dyDescent="0.25">
      <c r="A26" s="37" t="s">
        <v>1888</v>
      </c>
      <c r="B26" s="37" t="s">
        <v>2155</v>
      </c>
    </row>
    <row r="27" spans="1:2" x14ac:dyDescent="0.25">
      <c r="A27" s="37" t="s">
        <v>1889</v>
      </c>
      <c r="B27" s="37" t="s">
        <v>2156</v>
      </c>
    </row>
    <row r="28" spans="1:2" x14ac:dyDescent="0.25">
      <c r="A28" s="37" t="s">
        <v>1890</v>
      </c>
      <c r="B28" s="37" t="s">
        <v>2157</v>
      </c>
    </row>
    <row r="29" spans="1:2" x14ac:dyDescent="0.25">
      <c r="A29" s="37" t="s">
        <v>27</v>
      </c>
      <c r="B29" s="37" t="s">
        <v>27</v>
      </c>
    </row>
    <row r="30" spans="1:2" x14ac:dyDescent="0.25">
      <c r="A30" s="36" t="s">
        <v>2158</v>
      </c>
      <c r="B30" s="36" t="s">
        <v>27</v>
      </c>
    </row>
    <row r="31" spans="1:2" x14ac:dyDescent="0.25">
      <c r="A31" s="37" t="s">
        <v>2159</v>
      </c>
      <c r="B31" s="37" t="s">
        <v>1933</v>
      </c>
    </row>
    <row r="32" spans="1:2" x14ac:dyDescent="0.25">
      <c r="A32" s="37" t="s">
        <v>2160</v>
      </c>
      <c r="B32" s="37" t="s">
        <v>1935</v>
      </c>
    </row>
    <row r="33" spans="1:2" x14ac:dyDescent="0.25">
      <c r="A33" s="37" t="s">
        <v>2161</v>
      </c>
      <c r="B33" s="37" t="s">
        <v>1937</v>
      </c>
    </row>
    <row r="34" spans="1:2" x14ac:dyDescent="0.25">
      <c r="A34" s="37" t="s">
        <v>2162</v>
      </c>
      <c r="B34" s="37" t="s">
        <v>1939</v>
      </c>
    </row>
    <row r="35" spans="1:2" x14ac:dyDescent="0.25">
      <c r="A35" s="37" t="s">
        <v>2163</v>
      </c>
      <c r="B35" s="37" t="s">
        <v>2164</v>
      </c>
    </row>
    <row r="36" spans="1:2" x14ac:dyDescent="0.25">
      <c r="A36" s="37" t="s">
        <v>2165</v>
      </c>
      <c r="B36" s="37" t="s">
        <v>1943</v>
      </c>
    </row>
    <row r="37" spans="1:2" x14ac:dyDescent="0.25">
      <c r="A37" s="37" t="s">
        <v>2166</v>
      </c>
      <c r="B37" s="37" t="s">
        <v>1945</v>
      </c>
    </row>
    <row r="38" spans="1:2" x14ac:dyDescent="0.25">
      <c r="A38" s="37" t="s">
        <v>2167</v>
      </c>
      <c r="B38" s="37" t="s">
        <v>1947</v>
      </c>
    </row>
    <row r="39" spans="1:2" x14ac:dyDescent="0.25">
      <c r="A39" s="37" t="s">
        <v>2168</v>
      </c>
      <c r="B39" s="37" t="s">
        <v>1949</v>
      </c>
    </row>
    <row r="40" spans="1:2" x14ac:dyDescent="0.25">
      <c r="A40" s="37" t="s">
        <v>2169</v>
      </c>
      <c r="B40" s="37" t="s">
        <v>1951</v>
      </c>
    </row>
    <row r="41" spans="1:2" x14ac:dyDescent="0.25">
      <c r="A41" s="37" t="s">
        <v>2170</v>
      </c>
      <c r="B41" s="37" t="s">
        <v>1953</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Panduan IDDS Developer</vt:lpstr>
      <vt:lpstr>Usulan HE</vt:lpstr>
      <vt:lpstr>Penyesuaian IDDS Tenant</vt:lpstr>
      <vt:lpstr>Penyesuaian IDDS Platform</vt:lpstr>
      <vt:lpstr>Penyesuaian IDDS Onboarding</vt:lpstr>
      <vt:lpstr>Ringkasan</vt:lpstr>
      <vt:lpstr>Perkiraan Nilai HE</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2026-10-27T07:14:34Z</dcterms:created>
  <dcterms:modified xsi:type="dcterms:W3CDTF">2026-10-27T07:14:34Z</dcterms:modified>
</cp:coreProperties>
</file>