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nduan IDDS Developer" state="visible" r:id="rId4"/>
    <sheet sheetId="2" name="Usulan HE" state="visible" r:id="rId5"/>
    <sheet sheetId="3" name="Penyesuaian IDDS Tenant" state="visible" r:id="rId6"/>
    <sheet sheetId="4" name="Penyesuaian IDDS Platform" state="visible" r:id="rId7"/>
    <sheet sheetId="5" name="Penyesuaian IDDS Onboarding" state="visible" r:id="rId8"/>
    <sheet sheetId="6" name="Ringkasan" state="visible" r:id="rId9"/>
    <sheet sheetId="7" name="Perkiraan Nilai HE" state="visible" r:id="rId10"/>
    <sheet sheetId="8" name="Riwayat Perubahan" state="visible" r:id="rId11"/>
    <sheet sheetId="9" name="Keterangan" state="visible" r:id="rId12"/>
  </sheets>
  <calcPr calcId="171027" fullCalcOnLoad="1"/>
</workbook>
</file>

<file path=xl/comments2.xml><?xml version="1.0" encoding="utf-8"?>
<comments xmlns="http://schemas.openxmlformats.org/spreadsheetml/2006/main">
  <authors>
    <author>Author</author>
  </authors>
  <commentList>
    <comment ref="N4" authorId="0">
      <text>
        <r>
          <t>Tim mengisi kolom Status dan Catatan (berlatar kuning). Arti setiap pilihan status dijelaskan di sheet Keterangan.</t>
        </r>
      </text>
    </comment>
  </commentList>
</comments>
</file>

<file path=xl/comments3.xml><?xml version="1.0" encoding="utf-8"?>
<comments xmlns="http://schemas.openxmlformats.org/spreadsheetml/2006/main">
  <authors>
    <author>Author</author>
  </authors>
  <commentList>
    <comment ref="K4" authorId="0">
      <text>
        <r>
          <t>Tim mengisi kolom Status dan Catatan (berlatar kuning). Arti setiap pilihan status dijelaskan di sheet Keterangan.</t>
        </r>
      </text>
    </comment>
  </commentList>
</comments>
</file>

<file path=xl/comments4.xml><?xml version="1.0" encoding="utf-8"?>
<comments xmlns="http://schemas.openxmlformats.org/spreadsheetml/2006/main">
  <authors>
    <author>Author</author>
  </authors>
  <commentList>
    <comment ref="K4" authorId="0">
      <text>
        <r>
          <t>Tim mengisi kolom Status dan Catatan (berlatar kuning). Arti setiap pilihan status dijelaskan di sheet Keterangan.</t>
        </r>
      </text>
    </comment>
  </commentList>
</comments>
</file>

<file path=xl/comments5.xml><?xml version="1.0" encoding="utf-8"?>
<comments xmlns="http://schemas.openxmlformats.org/spreadsheetml/2006/main">
  <authors>
    <author>Author</author>
  </authors>
  <commentList>
    <comment ref="K4" authorId="0">
      <text>
        <r>
          <t>Tim mengisi kolom Status dan Catatan (berlatar kuning). Arti setiap pilihan status dijelaskan di sheet Keterangan.</t>
        </r>
      </text>
    </comment>
  </commentList>
</comments>
</file>

<file path=xl/sharedStrings.xml><?xml version="1.0" encoding="utf-8"?>
<sst xmlns="http://schemas.openxmlformats.org/spreadsheetml/2006/main" count="3594" uniqueCount="2167">
  <si>
    <t>Panduan Penerapan IDDS untuk Developer E-PPAT</t>
  </si>
  <si>
    <t>Versi 1.0 · 26 Okt 2026 · Halaman lengkap: prototipe/Panduan-IDDS-Developer.html</t>
  </si>
  <si>
    <t>Panduan ini menjelaskan cara memasang INA Digital Design System (IDDS) dengan brand E-PPAT di aplikasi React E-PPAT. Setiap aturan diambil dari prototipe backlog Peruri dan saran Heuristic Evaluation (HE). Salin pola dari prototipe acuan, lalu periksa hasilnya dengan daftar periksa sebelum rilis. Dokumentasi resmi komponen ada di https://design.inadigital.go.id.</t>
  </si>
  <si>
    <t>No</t>
  </si>
  <si>
    <t>Bagian</t>
  </si>
  <si>
    <t>Topik</t>
  </si>
  <si>
    <t>Aturan</t>
  </si>
  <si>
    <t>Contoh</t>
  </si>
  <si>
    <t>Acuan prototipe</t>
  </si>
  <si>
    <t>Kode backlog</t>
  </si>
  <si>
    <t>1. Pemasangan dan token warna</t>
  </si>
  <si>
    <t>1.1</t>
  </si>
  <si>
    <t>Pemasangan dan token warna</t>
  </si>
  <si>
    <t>Urutan pemasangan CSS</t>
  </si>
  <si>
    <t>Muat CSS IDDS lebih dulu, lalu `eppat.css`. Pasang atribut `data-brand="eppat"` pada elemen `&lt;html&gt;`. Komponen IDDS yang sudah dipakai live (`ina-button`, `ina-text-field`) langsung berwarna hijau E-PPAT.</t>
  </si>
  <si>
    <t xml:space="preserve">import '@idds/react/index.css';          // atau @idds/styles/dist/index.css
import './brand-eppat-idds/eppat.css';   // SETELAH CSS IDDS
document.documentElement.setAttribute('data-brand', 'eppat');
&lt;!-- atau langsung di index.html --&gt;
&lt;html lang="id" data-brand="eppat" data-theme="light"&gt;</t>
  </si>
  <si>
    <t>HE-UMUM-01 / IDDS-TN-01</t>
  </si>
  <si>
    <t>1.2</t>
  </si>
  <si>
    <t>Jangan memakai setBrandTheme untuk E-PPAT</t>
  </si>
  <si>
    <t>`setBrandTheme()` hanya menerima brand bawaan IDDS (inagov, inaku, bgn, bkn, lan, panrb, default). Jangan memanggilnya setelah `data-brand` terpasang karena fungsi itu menimpa atribut tersebut. Bila tidak dapat memuat berkas CSS tambahan, pakai `setCustomTheme(eppatTheme)`; cara ini tidak membawa penyesuaian mode gelap dan kontras.</t>
  </si>
  <si>
    <t xml:space="preserve">import { setCustomTheme } from '@idds/react';
import { eppatTheme } from './brand-eppat-idds/eppat-theme';
setCustomTheme(eppatTheme);</t>
  </si>
  <si>
    <t>brand-eppat-idds/README.md</t>
  </si>
  <si>
    <t>HE-UMUM-01</t>
  </si>
  <si>
    <t>1.3</t>
  </si>
  <si>
    <t>Tailwind</t>
  </si>
  <si>
    <t>Aplikasi live memakai Tailwind. Impor token E-PPAT agar kelas utilitas memakai warna yang sama dengan komponen IDDS. Jangan menulis kode warna heksadesimal langsung di kelas Tailwind; pakai token.</t>
  </si>
  <si>
    <t xml:space="preserve">@import 'tailwindcss';
@import '@idds/styles/tailwind/css/idds.css';
@import './brand-eppat-idds/tailwind/eppat.css';   /* Tailwind v4 */
/* Tailwind v3: brand-eppat-idds/tailwind/eppat.js */</t>
  </si>
  <si>
    <t/>
  </si>
  <si>
    <t>1.4</t>
  </si>
  <si>
    <t>Huruf</t>
  </si>
  <si>
    <t>Pakai Inter dengan ketebalan 400, 500, 600, dan 700. Ukuran dan tinggi baris mengikuti tipografi IDDS. Judul halaman (H1) di prototipe: Inter 500, 28/36 px, warna `--ina-primary-primary`.</t>
  </si>
  <si>
    <t>&lt;link href="https://fonts.googleapis.com/css2?family=Inter:wght@400;500;600;700&amp;display=swap" rel="stylesheet"&gt;</t>
  </si>
  <si>
    <t>1.5</t>
  </si>
  <si>
    <t>Mode gelap</t>
  </si>
  <si>
    <t>Mode gelap aktif dengan `data-theme="dark"` bersama `data-brand="eppat"`. Di mode gelap warna utama berganti ke `--ina-primary-400` (#4E7C6F) dan sidebar ke #141C1F. Prototipe backlog hanya memakai mode terang. Deskripsi Alert IDDS 1.6.38 tampak pudar di mode gelap; ini perilaku CSS IDDS, bukan tema E-PPAT.</t>
  </si>
  <si>
    <t>&lt;html lang="id" data-brand="eppat" data-theme="dark"&gt;</t>
  </si>
  <si>
    <t>1.6</t>
  </si>
  <si>
    <t>Batasi !important dan penimpaan gaya</t>
  </si>
  <si>
    <t>Jangan menimpa gaya IDDS dengan `!important` secara luas. Tulis penyesuaian dengan cakupan `[data-brand='eppat'] .ina-…` dan pakai token `var(--ina-…)`. `eppat.css` hanya memakai `!important` di tempat IDDS juga memakainya (misalnya teks placeholder Select).</t>
  </si>
  <si>
    <t xml:space="preserve">/* Benar */
[data-brand='eppat'] .ina-breadcrumb__link--active { color: var(--ina-primary-600); }
/* Salah */
.text-gray-400 { color: #999 !important; }</t>
  </si>
  <si>
    <t>brand-eppat-idds/eppat.css</t>
  </si>
  <si>
    <t>1.7</t>
  </si>
  <si>
    <t>Token warna brand</t>
  </si>
  <si>
    <t>Hanya token brand yang diganti. Warna netral, tipografi, jarak, dan komponen tetap milik IDDS. Pakai nama token, bukan nilai heksadesimal.</t>
  </si>
  <si>
    <t xml:space="preserve">Token | Nilai | Kegunaan
--ina-primary-primary / -500 | #3D6B5E | Tombol utama, tab aktif, fokus. Teks putih 6,06:1
--ina-primary-600 / --ina-brand-hover | #345D52 | Hover, breadcrumb aktif. Teks putih 7,41:1
--ina-primary-400 | #4E7C6F | Warna utama mode gelap. Teks putih 4,73:1
--ina-primary-25 / -50 / -100 | #F5F8F7 / #EEF3F1 / #DDE5E2 | Latar lembut, hover baris tabel
--ina-secondary-300 (--ina-eppat-office-card) | #DAC999 | Kartu kantor emas di sidebar
--ina-eppat-sidebar-bg / -hover | #2C3C42 / #3A4D54 | Latar sidebar. Teks putih 11,46:1
--ina-eppat-sidebar-active | var(--ina-primary-500) | Menu sidebar aktif
--ina-eppat-sidebar-content | rgba(255,255,255,.8) | Teks menu sidebar
--ina-eppat-stroke-brand | #D2DDD9 | Garis bernuansa brand</t>
  </si>
  <si>
    <t>1.8</t>
  </si>
  <si>
    <t>Warna status tetap milik IDDS</t>
  </si>
  <si>
    <t>Warna sentimen tidak diubah oleh brand E-PPAT. Alert, Badge, dan Toast memakai warna ini. Elemen penunjuk (Button link, Stepper aktif/selesai, Checkbox tercentang, Pagination aktif, Breadcrumb aktif) memakai hijau brand.</t>
  </si>
  <si>
    <t xml:space="preserve">Sentimen | Nilai dasar IDDS | Dipakai untuk
info / guide | #0968F6 | Informasi, proses berjalan
positive | #288034 | Berhasil, selesai, aktif
warning | #EEBB04 (teks memakai warning-600) | Perlu perhatian, kurang data
negative | #F02D2D (teks memakai negative-600 #D50B0B) | Galat, gagal, aksi berbahaya</t>
  </si>
  <si>
    <t>1.9</t>
  </si>
  <si>
    <t>Kontras minimal WCAG 2.2 AA</t>
  </si>
  <si>
    <t>Teks biasa wajib berkontras minimal 4,5:1 terhadap latarnya. Teks besar (≥ 24 px, atau ≥ 18,66 px tebal) dan batas komponen minimal 3:1. `eppat.css` sudah menggelapkan warna bawaan IDDS yang di bawah standar dengan corak dari keluarga warna yang sama, sehingga arti warna tidak berubah.</t>
  </si>
  <si>
    <t xml:space="preserve">Elemen | Bawaan IDDS | Setelah eppat.css
Label langkah Stepper yang belum aktif | #A3A3A3 (2,5:1) | --ina-content-secondary #525252 (7,8:1)
Tanda wajib (*) Text Field, Text Area, Select, Password, Input Search | #F02D2D (4,1:1) | --ina-negative-600 #D50B0B
Placeholder Select Dropdown dan Date Picker | abu-abu muda | --ina-content-secondary
Judul Alert caution | #EEBB04 (1,7:1) | --ina-warning-600 #855F00
Judul Alert critical | #F02D2D (3,6:1) | --ina-negative-600
Judul Alert info | biru guide | --ina-guide-600
Teks galat Text Field, Text Area, OTP, Phone, Password, File Upload | #F02D2D (4,1:1) | --ina-negative-600
Teks peringatan Text Field, Text Area, Password | #EEBB04 (1,8:1) | --ina-warning-600</t>
  </si>
  <si>
    <t>IDDS-TN-20</t>
  </si>
  <si>
    <t>1.10</t>
  </si>
  <si>
    <t>Keputusan terbuka: warna lencana status</t>
  </si>
  <si>
    <t>Di live, warna lencana status diatur lewat CMS › Tema Tampilan (warna status). Prototipe IDDS memakai varian sentimen IDDS. Tim perlu memutuskan sumber warna mana yang dipakai sebelum lencana diganti.</t>
  </si>
  <si>
    <t>Keputusan tim: CMS › Tema Tampilan atau token sentimen IDDS.</t>
  </si>
  <si>
    <t>2. Kerangka halaman</t>
  </si>
  <si>
    <t>2.1</t>
  </si>
  <si>
    <t>Kerangka halaman</t>
  </si>
  <si>
    <t>Sidebar</t>
  </si>
  <si>
    <t>Sidebar selebar 240 px dan tetap terlihat saat halaman digulir. Latarnya `--ina-eppat-sidebar-bg`. Menu dibagi menjadi grup System, CMS, Akta, dan Layanan AJB. Judul grup adalah tombol dengan `aria-expanded`. Menu memakai ikon garis 16 px dengan `currentColor`. Menu aktif berlatar `--ina-eppat-sidebar-active` dan berteks putih tebal. Nama menu sidebar jangan diubah tanpa keputusan tim.</t>
  </si>
  <si>
    <t xml:space="preserve">&lt;aside class="sidebar"&gt;
  &lt;div class="brand"&gt;&lt;img src="logo.png" alt="E-PPAT"&gt;&lt;/div&gt;
  &lt;!-- kartu kantor, lihat topik berikutnya --&gt;
  &lt;nav&gt;
    &lt;button class="grp" aria-expanded="true"&gt;System&lt;/button&gt;
    &lt;div class="items"&gt;
      &lt;a href="/dasbor" class="ina-button ina-button--link ina-button--md nav-item on" aria-current="page"&gt;
        &lt;svg aria-hidden="true"&gt;…&lt;/svg&gt;&lt;span&gt;Dasbor&lt;/span&gt;&lt;/a&gt;
    &lt;/div&gt;
  &lt;/nav&gt;
&lt;/aside&gt;</t>
  </si>
  <si>
    <t>2.2</t>
  </si>
  <si>
    <t>Kartu kantor</t>
  </si>
  <si>
    <t>Identitas kantor di sidebar memakai IDDS Card berlatar emas `--ina-eppat-office-card`. Isinya: label kecil "Kantor Notaris &amp; PPAT", nama PPAT, lalu SK, wilayah, telepon, dan alamat dengan ikon kecil. Teks gelap #1F1F1F di atas latar emas.</t>
  </si>
  <si>
    <t xml:space="preserve">&lt;div class="ina-card ina-card--variant-basic kantor"&gt;
  &lt;div class="ina-card__content"&gt;&lt;div&gt;
    &lt;div class="eyebrow"&gt;Kantor Notaris &amp;amp; PPAT&lt;/div&gt;
    &lt;h3 class="ina-card__title"&gt;PPAT Contoh Satu, S.H.&lt;/h3&gt;
    &lt;div class="ina-card__description kantor-info"&gt;
      &lt;div class="baris-kantor"&gt;&lt;svg aria-hidden="true"&gt;…&lt;/svg&gt;&lt;span&gt;SK · 1/KEP-CONTOH/2020&lt;/span&gt;&lt;/div&gt;
    &lt;/div&gt;
  &lt;/div&gt;&lt;/div&gt;
&lt;/div&gt;</t>
  </si>
  <si>
    <t>IDDS-TN-30</t>
  </si>
  <si>
    <t>2.3</t>
  </si>
  <si>
    <t>Header</t>
  </si>
  <si>
    <t>Header setinggi 64 px, berlatar `--ina-background-primary`, dan tetap di atas saat halaman digulir. Urutan dari kiri: tombol menu (hanya untuk ponsel), ruang kosong, tombol "Lihat Landing" (secondary), tombol Notifikasi (tertiary, ikon saja dengan `aria-label`), lalu avatar dengan nama dan peran. Prototipe tidak membuat menu avatar; ikuti perilaku menu avatar di live.</t>
  </si>
  <si>
    <t xml:space="preserve">&lt;header class="top"&gt;
  &lt;button class="ina-button ina-button--tertiary ina-button--md" aria-label="Menu"&gt;…&lt;/button&gt;
  &lt;div class="spacer"&gt;&lt;/div&gt;
  &lt;button class="ina-button ina-button--secondary ina-button--md"&gt;&lt;svg aria-hidden="true"&gt;…&lt;/svg&gt;&lt;span&gt;Lihat Landing&lt;/span&gt;&lt;/button&gt;
  &lt;button class="ina-button ina-button--tertiary ina-button--md" aria-label="Notifikasi"&gt;…&lt;/button&gt;
  &lt;div class="user"&gt;&lt;span class="ina-avatar ina-avatar--circle ava"&gt;A&lt;/span&gt;
    &lt;span class="uname"&gt;Asisten Contoh&lt;/span&gt;&lt;span class="urole"&gt;Asisten&lt;/span&gt;&lt;/div&gt;
&lt;/header&gt;</t>
  </si>
  <si>
    <t>2.4</t>
  </si>
  <si>
    <t>Breadcrumb</t>
  </si>
  <si>
    <t>Setiap halaman di dalam aplikasi memakai IDDS Breadcrumb di atas judul. Isinya nama grup menu lalu nama halaman. Halaman aktif ditulis sebagai `&lt;span&gt;`, bukan tautan, dan berwarna `--ina-primary-600`. Pemisah diberi `aria-hidden="true"`.</t>
  </si>
  <si>
    <t xml:space="preserve">&lt;nav class="ina-breadcrumb" aria-label="Breadcrumb"&gt;&lt;ol class="ina-breadcrumb__list"&gt;
  &lt;li class="ina-breadcrumb__item"&gt;&lt;a href="#" class="ina-breadcrumb__link"&gt;&lt;span class="ina-breadcrumb__text"&gt;Layanan AJB&lt;/span&gt;&lt;/a&gt;
    &lt;span class="ina-breadcrumb__separator" aria-hidden="true"&gt;›&lt;/span&gt;&lt;/li&gt;
  &lt;li class="ina-breadcrumb__item"&gt;&lt;span class="ina-breadcrumb__link ina-breadcrumb__link--active"&gt;&lt;span class="ina-breadcrumb__text"&gt;Permohonan AJB&lt;/span&gt;&lt;/span&gt;&lt;/li&gt;
&lt;/ol&gt;&lt;/nav&gt;</t>
  </si>
  <si>
    <t>2.5</t>
  </si>
  <si>
    <t>Judul halaman dan subjudul</t>
  </si>
  <si>
    <t>Satu halaman hanya punya satu H1. Di bawahnya ada subjudul berupa satu kalimat SPOK yang menyebut hal yang dapat dilakukan pengguna di halaman itu, dan diakhiri titik. Jangan menulis subjudul berupa daftar kata atau penjelasan teknis.</t>
  </si>
  <si>
    <t xml:space="preserve">Benar: Kelola permintaan Akta Jual Beli, mulai dari pengajuan klien sampai akta selesai.
Benar: Pantau jumlah user, aktivitas terbaru, dan pengingat penting kantor Anda.
Salah: Manajemen order AJB (CRUD)
Salah: RBAC per modul</t>
  </si>
  <si>
    <t>IDDS-TN-16</t>
  </si>
  <si>
    <t>2.6</t>
  </si>
  <si>
    <t>Tombol Bantuan di kanan judul</t>
  </si>
  <si>
    <t>Setiap halaman punya tombol Bantuan (Button secondary md) di kanan judul, bukan di header global. Tombol membuka IDDS Drawer dari kanan; di layar ≤ 760 px Drawer muncul dari bawah. Isi Drawer khusus untuk halaman itu: langkah singkat, pertanyaan umum dalam IDDS Accordion, dan kontak dukungan. Fokus pindah ke tombol Tutup saat Drawer terbuka; Esc menutup Drawer.</t>
  </si>
  <si>
    <t xml:space="preserve">&lt;div class="judul-halaman"&gt;
  &lt;div class="judul-kiri"&gt;&lt;h1&gt;Permohonan AJB&lt;/h1&gt;&lt;p class="sub"&gt;Kelola permintaan Akta Jual Beli, …&lt;/p&gt;&lt;/div&gt;
  &lt;button type="button" class="ina-button ina-button--secondary ina-button--md" aria-haspopup="dialog" aria-label="Bantuan untuk halaman ini"&gt;
    &lt;svg aria-hidden="true"&gt;…&lt;/svg&gt;&lt;span&gt;Bantuan&lt;/span&gt;&lt;/button&gt;
&lt;/div&gt;
&lt;div class="ina-drawer ina-drawer--position-right" role="dialog" aria-modal="true" aria-labelledby="drwJudul"&gt;
  &lt;div class="ina-drawer__backdrop"&gt;&lt;/div&gt;
  &lt;div class="ina-drawer__panel ina-drawer__panel--width-md"&gt;
    &lt;div class="ina-drawer__header"&gt;&lt;h2 class="ina-drawer__title" id="drwJudul"&gt;Bantuan Permohonan AJB&lt;/h2&gt;
      &lt;button type="button" class="ina-drawer__close-button" aria-label="Tutup bantuan"&gt;…&lt;/button&gt;&lt;/div&gt;
    &lt;div class="ina-drawer__content"&gt;…&lt;/div&gt;
  &lt;/div&gt;
&lt;/div&gt;</t>
  </si>
  <si>
    <t>HE-UMUM-02 / IDDS-TN-15 / IDDS-TN-25 / IDDS-TN-36</t>
  </si>
  <si>
    <t>2.7</t>
  </si>
  <si>
    <t>Kontak dukungan di Bantuan</t>
  </si>
  <si>
    <t>Bagian akhir Drawer berisi email, telepon/WhatsApp, dan jam layanan. Nilai di prototipe adalah data contoh (bantuan@contoh.id, 0800-0000-0000). Isi dengan kontak resmi tim E-PPAT sebelum rilis.</t>
  </si>
  <si>
    <t>Jam layanan: Senin–Jumat, 08.00–17.00 WIB</t>
  </si>
  <si>
    <t>HE-UMUM-02</t>
  </si>
  <si>
    <t>2.8</t>
  </si>
  <si>
    <t>Layar daftar lebih dulu, detail lewat baris</t>
  </si>
  <si>
    <t>Setiap menu dibuka di layar daftar. Detail dibuka dengan mengeklik baris (`ina-table__row--clickable`) atau tombol Edit. Layar detail punya tombol "Kembali" (secondary sm) di atas kode atau nama item.</t>
  </si>
  <si>
    <t>&lt;button type="button" class="ina-button ina-button--secondary ina-button--sm"&gt;&lt;svg aria-hidden="true"&gt;…&lt;/svg&gt;Kembali&lt;/button&gt;</t>
  </si>
  <si>
    <t>HE-VERIF-05</t>
  </si>
  <si>
    <t>2.9</t>
  </si>
  <si>
    <t>Keadaan kosong</t>
  </si>
  <si>
    <t>Tabel kosong tetap menampilkan tajuk kolom dan satu baris `ina-table__empty-cell` berisi kalimat singkat. Bedakan "belum ada data" dan "hasil pencarian tidak cocok". Untuk hasil pencarian kosong, sediakan tombol untuk menghapus pencarian dan saringan.</t>
  </si>
  <si>
    <t xml:space="preserve">Belum ada para pihak.
Tidak ada order yang cocok.
Tombol: Hapus Pencarian dan Saringan</t>
  </si>
  <si>
    <t>HE-EAW-07</t>
  </si>
  <si>
    <t>2.10</t>
  </si>
  <si>
    <t>Keadaan memuat</t>
  </si>
  <si>
    <t>Saat proses berjalan, tombol pemicu dinonaktifkan, labelnya berganti menjadi kata kerja berakhiran elipsis, dan IDDS Spinner kecil tampil di dalam tombol. Spinner diberi `aria-hidden="true"` karena labelnya sudah menjelaskan proses.</t>
  </si>
  <si>
    <t xml:space="preserve">&lt;button type="button" class="ina-button ina-button--primary ina-button--lg" disabled&gt;
  &lt;span class="ina-spinner ina-spinner--spinner-only" aria-hidden="true"&gt;&lt;span class="ina-spinner__element ina-spinner__element--size-xs ina-spinner__element--color-primary"&gt;&lt;/span&gt;&lt;/span&gt;
  Memverifikasi…
&lt;/button&gt;</t>
  </si>
  <si>
    <t>2.11</t>
  </si>
  <si>
    <t>Keadaan gagal dan data terbaru</t>
  </si>
  <si>
    <t>Bila data gagal dimuat, tampilkan IDDS Alert critical berisi penyebab dan tombol "Coba Lagi". Halaman ringkasan menampilkan waktu pembaruan dan tombol "Muat Ulang".</t>
  </si>
  <si>
    <t xml:space="preserve">&lt;div class="ina-alert ina-alert--critical" role="status"&gt;&lt;div class="ina-alert__content"&gt;&lt;div class="ina-alert__text-section"&gt;
  &lt;div class="ina-alert__title"&gt;Dashboard gagal dimuat&lt;/div&gt;
  &lt;div class="ina-alert__description"&gt;Periksa koneksi internet Anda, lalu coba lagi.&lt;/div&gt;&lt;/div&gt;
  &lt;button type="button" class="ina-button ina-button--secondary ina-button--sm"&gt;Coba Lagi&lt;/button&gt;&lt;/div&gt;&lt;/div&gt;
&lt;span class="diperbarui"&gt;Diperbarui pukul 09.25 WIB&lt;/span&gt;</t>
  </si>
  <si>
    <t>IDDS-TN-28</t>
  </si>
  <si>
    <t>2.12</t>
  </si>
  <si>
    <t>Tampilan ponsel</t>
  </si>
  <si>
    <t>Di layar sempit sidebar disembunyikan dan dibuka lewat tombol menu dengan latar gelap (scrim). Tabel lebar dibungkus elemen ber-`overflow-x:auto` agar halaman tidak bergeser ke samping. Stepper horizontal berganti menjadi vertikal. Drawer Bantuan muncul dari bawah.</t>
  </si>
  <si>
    <t xml:space="preserve">&lt;div class="tabel-wadah"&gt;&lt;div class="tabel-gulir" style="overflow-x:auto"&gt;
  &lt;div class="ina-table"&gt;&lt;table class="ina-table__container"&gt;…&lt;/table&gt;&lt;/div&gt;
&lt;/div&gt;&lt;/div&gt;</t>
  </si>
  <si>
    <t>3. Komponen IDDS dan kapan dipakai</t>
  </si>
  <si>
    <t>3.1</t>
  </si>
  <si>
    <t>Komponen IDDS dan kapan dipakai</t>
  </si>
  <si>
    <t>Button: hierarki</t>
  </si>
  <si>
    <t>Satu area hanya punya satu tombol primary untuk aksi utama. Aksi pendamping memakai secondary. Aksi ringan atau berisiko rendah (Batal di daftar, Kirim Ulang, Muat Ulang) memakai tertiary. Tautan di dalam teks memakai varian link. Ukuran: sm di tabel, md di formulir dan dialog, lg di kartu Masuk.</t>
  </si>
  <si>
    <t xml:space="preserve">&lt;button type="button" class="ina-button ina-button--primary ina-button--md"&gt;Buat Permohonan&lt;/button&gt;
&lt;button type="button" class="ina-button ina-button--secondary ina-button--md"&gt;Muat Ulang&lt;/button&gt;
&lt;button type="button" class="ina-button ina-button--tertiary ina-button--sm"&gt;Batalkan Pilihan&lt;/button&gt;
&lt;button type="button" class="ina-button ina-button--link ina-button--sm"&gt;Lengkapi&lt;/button&gt;</t>
  </si>
  <si>
    <t>HE-ORDER-05</t>
  </si>
  <si>
    <t>3.2</t>
  </si>
  <si>
    <t>Button: aksi yang menghapus atau membatalkan</t>
  </si>
  <si>
    <t>Di tabel, tombol Hapus dibuat tidak dominan: tertiary dengan teks merah `--ina-negative-600`. Hapus selalu meminta konfirmasi. Di dialog konfirmasi, tombol aksi berbahaya adalah tombol terakhir dengan latar dan garis `--ina-negative-600`.</t>
  </si>
  <si>
    <t xml:space="preserve">&lt;!-- di tabel --&gt;
&lt;button type="button" class="ina-button ina-button--tertiary ina-button--sm" style="color:var(--ina-negative-600)"&gt;Hapus&lt;/button&gt;
&lt;!-- di dialog konfirmasi --&gt;
&lt;button type="button" class="ina-button ina-button--primary ina-button--md" style="background:var(--ina-negative-600);border-color:var(--ina-negative-600)"&gt;Hapus&lt;/button&gt;</t>
  </si>
  <si>
    <t>3.3</t>
  </si>
  <si>
    <t>Text Field</t>
  </si>
  <si>
    <t>Label selalu terlihat dan terhubung ke isian (`for`/`id`). Tanda wajib memakai `ina-text-field__required`. Teks bantuan dan galat berada di `ina-text-field__bottom-area` dan dihubungkan dengan `aria-describedby`. Placeholder hanya contoh isian, bukan pengganti label.</t>
  </si>
  <si>
    <t xml:space="preserve">&lt;div class="ina-text-field" id="f-dEmail"&gt;
  &lt;label class="ina-text-field__label" for="dEmail"&gt;Email&lt;span class="ina-text-field__required"&gt;*&lt;/span&gt;&lt;/label&gt;
  &lt;div class="ina-text-field__wrapper ina-text-field__wrapper--size-md"&gt;
    &lt;input id="dEmail" type="email" class="ina-text-field__input" placeholder="nama@contoh.id" autocomplete="email" aria-describedby="h-dEmail"&gt;&lt;/div&gt;
  &lt;div class="ina-text-field__bottom-area"&gt;&lt;div class="ina-text-field__helper-text" id="h-dEmail"&gt;&lt;/div&gt;&lt;/div&gt;
&lt;/div&gt;</t>
  </si>
  <si>
    <t>IDDS-TN-02</t>
  </si>
  <si>
    <t>3.4</t>
  </si>
  <si>
    <t>Text Field berawalan dan isian angka</t>
  </si>
  <si>
    <t>Isian uang memakai awalan "Rp" di dalam isian, `inputmode="numeric"`, pemisah ribuan otomatis, dan terbilang di teks bantuan. Isian angka lain (luas, NIK) juga memakai `inputmode="numeric"`.</t>
  </si>
  <si>
    <t xml:space="preserve">&lt;div class="ina-text-field__wrapper ina-text-field__wrapper--size-md"&gt;
  &lt;span class="ina-text-field__prefix-icon"&gt;Rp&lt;/span&gt;
  &lt;input id="oHarga" class="ina-text-field__input" placeholder="Contoh: 750.000.000" inputmode="numeric"&gt;&lt;/div&gt;
&lt;div class="ina-text-field__helper-text" id="h-oHarga"&gt;tujuh ratus lima puluh juta rupiah&lt;/div&gt;</t>
  </si>
  <si>
    <t>HE-ORDER-07</t>
  </si>
  <si>
    <t>3.5</t>
  </si>
  <si>
    <t>Text Area</t>
  </si>
  <si>
    <t>Pakai Text Area untuk isian lebih dari satu baris, misalnya catatan atau alamat panjang. Tulis "(opsional)" di placeholder atau label bila tidak wajib.</t>
  </si>
  <si>
    <t xml:space="preserve">&lt;div class="ina-text-area"&gt;
  &lt;label class="ina-text-area__label" for="kCat"&gt;Catatan&lt;/label&gt;
  &lt;div class="ina-text-area__wrapper ina-text-area__wrapper--status-neutral"&gt;
    &lt;textarea id="kCat" class="ina-text-area__input" rows="3" placeholder="Catatan tambahan (opsional)"&gt;&lt;/textarea&gt;&lt;/div&gt;
&lt;/div&gt;</t>
  </si>
  <si>
    <t>3.6</t>
  </si>
  <si>
    <t>Password Input</t>
  </si>
  <si>
    <t>Semua isian kata sandi memakai IDDS Password Input dengan tombol tampilkan/sembunyikan (`aria-pressed` dan `aria-label` yang berganti). Syarat kata sandi tampil sebagai daftar centang yang sama di semua layar: minimal 12 karakter, huruf besar, huruf kecil, angka, dan simbol. Pesan status memakai `aria-live="polite"`.</t>
  </si>
  <si>
    <t xml:space="preserve">&lt;div class="ina-password-input" id="f-dPw"&gt;
  &lt;label class="ina-password-input__label" for="dPw"&gt;Kata Sandi&lt;span class="ina-password-input__required"&gt;*&lt;/span&gt;&lt;/label&gt;
  &lt;div class="ina-password-input__wrapper ina-password-input__wrapper--size-md ina-password-input__wrapper--neutral"&gt;
    &lt;input id="dPw" type="password" class="ina-password-input__input" autocomplete="new-password" aria-describedby="h-dPw"&gt;
    &lt;div class="ina-password-input__actions"&gt;&lt;button type="button" class="ina-password-input__toggle-button" aria-label="Tampilkan kata sandi" aria-pressed="false"&gt;…&lt;/button&gt;&lt;/div&gt;&lt;/div&gt;
  &lt;div class="ina-password-input__status-area"&gt;&lt;span class="ina-password-input__status-message" id="h-dPw" aria-live="polite"&gt;&lt;/span&gt;&lt;/div&gt;
&lt;/div&gt;</t>
  </si>
  <si>
    <t>HE-USER-03 / HE-REG-04 / IDDS-TN-05</t>
  </si>
  <si>
    <t>3.7</t>
  </si>
  <si>
    <t>Select Dropdown</t>
  </si>
  <si>
    <t>Pakai Select Dropdown untuk memilih satu nilai dari daftar tetap (status, tipe pihak, jenis aktivitas). Label tetap terlihat di atas pemicu. Panel tertutup saat pengguna mengeklik di luar atau menekan Esc. Pilihan yang dipilih memakai `ina-select-dropdown__option--selected-single`. Jangan meminta pengguna mengetik nilai baku seperti zona waktu.</t>
  </si>
  <si>
    <t xml:space="preserve">&lt;div class="ina-select-dropdown"&gt;
  &lt;label class="ina-text-field__label"&gt;Status&lt;/label&gt;
  &lt;button type="button" class="ina-select-dropdown__trigger ina-select-dropdown__trigger--size-md" aria-haspopup="listbox" aria-expanded="true"&gt;
    &lt;span class="ina-select-dropdown__trigger-text ina-select-dropdown__trigger-text--selected"&gt;Semua status&lt;/span&gt;…&lt;/button&gt;
  &lt;div class="ina-select-dropdown__panel"&gt;&lt;div class="ina-select-dropdown__options" role="listbox"&gt;
    &lt;button type="button" role="option" aria-selected="true" class="ina-select-dropdown__option ina-select-dropdown__option--selected-single"&gt;Semua status&lt;/button&gt;
  &lt;/div&gt;&lt;/div&gt;
&lt;/div&gt;</t>
  </si>
  <si>
    <t>IDDS-TN-13 / IDDS-TN-14</t>
  </si>
  <si>
    <t>3.8</t>
  </si>
  <si>
    <t>Checkbox, Radio, dan Button Group</t>
  </si>
  <si>
    <t>Checkbox untuk pilihan ya/tidak atau banyak pilihan, misalnya pernyataan persetujuan dan memilih penerima. Radio untuk satu pilihan dari beberapa opsi yang perlu dibaca berdampingan. Button Group untuk saringan atau opsi singkat yang saling meniadakan; tiap tombol memakai `aria-pressed`.</t>
  </si>
  <si>
    <t xml:space="preserve">&lt;label class="ina-checkbox" for="setuju"&gt;
  &lt;input type="checkbox" id="setuju" class="ina-checkbox__input peer"&gt;
  &lt;div class="ina-checkbox__box ina-checkbox__box--unchecked"&gt;&lt;/div&gt;
  &lt;div class="ina-checkbox__content"&gt;&lt;span class="ina-checkbox__label"&gt;Saya sudah memastikan minuta akta final dan data order benar.&lt;/span&gt;&lt;/div&gt;
&lt;/label&gt;
&lt;div class="ina-button-group" role="group"&gt;
  &lt;button type="button" class="ina-button-group__button ina-button-group__button--selected" aria-pressed="true"&gt;&lt;span class="ina-button-group__button-content"&gt;Harta Sendiri&lt;/span&gt;&lt;/button&gt;
  &lt;button type="button" class="ina-button-group__button" aria-pressed="false"&gt;&lt;span class="ina-button-group__button-content"&gt;Harta Bersama&lt;/span&gt;&lt;/button&gt;
&lt;/div&gt;</t>
  </si>
  <si>
    <t>HE-ORDER-02 / IDDS-TN-34</t>
  </si>
  <si>
    <t>3.9</t>
  </si>
  <si>
    <t>Toggle</t>
  </si>
  <si>
    <t>Pakai Toggle untuk menyalakan atau mematikan fitur, bukan kotak centang. Toggle memakai `role="switch"`, `aria-checked`, dan dapat dioperasikan dengan Spasi atau Enter. Bila mematikan fitur berdampak bagi user lain (misalnya menonaktifkan layanan akta atau mode pemeliharaan), minta konfirmasi lebih dulu.</t>
  </si>
  <si>
    <t xml:space="preserve">&lt;span class="ina-toggle ina-toggle--size-sm ina-toggle--checked" role="switch" aria-checked="true" tabindex="0" id="aDaftar" aria-label="Registrasi mandiri"&gt;
  &lt;span class="ina-toggle__track ina-toggle__track--checked"&gt;&lt;span class="ina-toggle__thumb ina-toggle__thumb--checked"&gt;&lt;/span&gt;&lt;/span&gt;
&lt;/span&gt;</t>
  </si>
  <si>
    <t>IDDS-TN-13 / IDDS-TN-31</t>
  </si>
  <si>
    <t>3.10</t>
  </si>
  <si>
    <t>Input Search</t>
  </si>
  <si>
    <t>Pencarian daftar memakai IDDS Input Search dengan label "Cari" dan placeholder yang menyebut kolom yang dicari. Beri jeda (debounce) agar server tidak dipanggil pada setiap ketikan. Tampilkan jumlah hasil, misalnya "Menampilkan 4 dari 12 order."</t>
  </si>
  <si>
    <t xml:space="preserve">&lt;label class="ina-text-field__label" for="cariOrder"&gt;Cari&lt;/label&gt;
&lt;div class="ina-input-search"&gt;&lt;div class="ina-input-search__wrapper"&gt;
  &lt;span class="ina-input-search__search-icon" aria-hidden="true"&gt;…&lt;/span&gt;
  &lt;input id="cariOrder" class="ina-input-search__input" type="search" placeholder="Cari kode atau narahubung…" autocomplete="off"&gt;
&lt;/div&gt;&lt;/div&gt;</t>
  </si>
  <si>
    <t>HE-VERIF-04 / IDDS-TN-32</t>
  </si>
  <si>
    <t>3.11</t>
  </si>
  <si>
    <t>File Upload</t>
  </si>
  <si>
    <t>Unggahan memakai IDDS File Upload dengan seret-lepas. Zona unggah dapat difokus (`role="button"`, `tabindex="0"`) dan berlabel. Deskripsi menyebut format dan ukuran maksimal. Pesan galat tampil di bawah kotak (`ina-file-upload__error-message`) dan dihubungkan dengan `aria-describedby`.</t>
  </si>
  <si>
    <t xml:space="preserve">&lt;div class="ina-file-upload"&gt;
  &lt;div class="ina-file-upload__dropzone" role="button" tabindex="0" aria-label="Unggah scan akta (PDF)" aria-describedby="galatScan"&gt;
    &lt;div class="ina-file-upload__content"&gt;&lt;div class="ina-file-upload__icon"&gt;…&lt;/div&gt;
      &lt;div class="ina-file-upload__text"&gt;&lt;div class="ina-file-upload__title"&gt;Seret berkas ke sini atau klik untuk memilih&lt;/div&gt;
        &lt;div class="ina-file-upload__description"&gt;PDF. Ukuran maksimal 20 MB.&lt;/div&gt;&lt;/div&gt;
      &lt;span class="ina-file-upload__button"&gt;Pilih Berkas&lt;/span&gt;&lt;/div&gt;&lt;/div&gt;
  &lt;div class="ina-file-upload__error-message" id="galatScan"&gt;&lt;/div&gt;
&lt;/div&gt;</t>
  </si>
  <si>
    <t>IDDS-TN-23 / IDDS-TN-33 / HE-UMUM-03</t>
  </si>
  <si>
    <t>3.12</t>
  </si>
  <si>
    <t>One-Time Password (OTP)</t>
  </si>
  <si>
    <t>Kode OTP memakai IDDS One-Time Password: enam kotak dengan `inputmode="numeric"`, `maxlength="1"`, dan label per kotak ("Digit 1"). Kelompok kotak berlabel dan dihubungkan ke teks bantuan ber-`aria-live`. Masa berlaku tampil sebagai Badge "Kode berlaku m:ss".</t>
  </si>
  <si>
    <t xml:space="preserve">&lt;div class="ina-one-time-password"&gt;
  &lt;span class="ina-text-field__label" id="lbl2fa"&gt;Kode 6 digit&lt;span class="ina-text-field__required"&gt;*&lt;/span&gt;&lt;/span&gt;
  &lt;div class="ina-one-time-password__container" role="group" aria-labelledby="lbl2fa" aria-describedby="otpPesan"&gt;
    &lt;input class="ina-one-time-password__input" inputmode="numeric" maxlength="1" aria-label="Digit 1" autocomplete="one-time-code"&gt;
    &lt;!-- … Digit 2 sampai 6 … --&gt;
  &lt;/div&gt;
  &lt;div class="ina-one-time-password__helper-text" id="otpPesan" aria-live="polite"&gt;&lt;/div&gt;
&lt;/div&gt;</t>
  </si>
  <si>
    <t>IDDS-TN-07 / HE-EAW-04 / HE-EAWK-05 / HE-LOGIN-01</t>
  </si>
  <si>
    <t>3.13</t>
  </si>
  <si>
    <t>Badge: pemetaan status</t>
  </si>
  <si>
    <t>Status ditampilkan dengan IDDS Badge `ina-badge--soft ina-badge--md ina-badge--rounded-full` (sm di dalam tab atau sel padat). Status yang sama memakai varian yang sama di semua halaman, termasuk warna grafik Dashboard. Badge selalu berisi teks, bukan warna saja.</t>
  </si>
  <si>
    <t xml:space="preserve">Status | Teks lencana | Varian Badge
Order: BARU | Baru | neutral
Order: PENGUMPULAN | Pengumpulan | info
Order: SIAP | Siap | warning
Order: DRAFTING | Penyusunan | info (keputusan terbuka)
Order: SELESAI | Selesai | success
Akun: ACTIVE | Aktif | success
Akun: SUSPENDED | Ditangguhkan | warning
Akun: INACTIVE | Nonaktif | neutral
CA: active | CA aktif | success
CA: ekyc | Proses eKYC | info
CA: review | Menunggu verifikasi | info
CA: expired | Kedaluwarsa | warning
CA: revoked | Dicabut | error
CA: none | Belum registrasi | neutral
Salinan: terkirim | Terkirim | info
Salinan: dibuka | Dibuka | success
Salinan: gagal | Gagal | error
Salinan: revoked | Dicabut | neutral
Kolom Salinan | Belum ada scan / Siap dikirim / Terkirim ke N pihak | warning / info / info
Kelengkapan tab | Lengkap / Kurang N / Belum ada | success / warning / warning</t>
  </si>
  <si>
    <t>HE-USER-01 / HE-ORDER-04 / IDDS-TN-27 / IDDS-TN-32</t>
  </si>
  <si>
    <t>3.14</t>
  </si>
  <si>
    <t>Badge: keputusan terbuka warna Penyusunan</t>
  </si>
  <si>
    <t>Di Permohonan AJB, Penyusunan dan Pengumpulan sama-sama memakai varian info, seperti di live. Grafik Dashboard Akta memakai warna brand untuk Penyusunan agar berbeda dari Pengumpulan. Tim perlu memilih satu aturan lalu menerapkannya di lencana dan grafik.</t>
  </si>
  <si>
    <t>Pilihan: Penyusunan = info (sama dengan live) atau Penyusunan = brand (beda dari Pengumpulan).</t>
  </si>
  <si>
    <t>IDDS-TN-27</t>
  </si>
  <si>
    <t>3.15</t>
  </si>
  <si>
    <t>Alert</t>
  </si>
  <si>
    <t>Alert menyampaikan keadaan halaman atau bagian, bukan hasil sebuah klik. Pakai info untuk penjelasan atau langkah berikutnya, caution untuk syarat yang belum terpenuhi atau pengingat, critical untuk galat yang menghalangi (gagal masuk, gagal memuat), dan success untuk tahap yang sudah selesai. Alert boleh berisi tombol aksi. Pengingat yang dapat ditutup memakai `ina-alert__close-button` berlabel.</t>
  </si>
  <si>
    <t xml:space="preserve">&lt;div class="ina-alert ina-alert--caution" role="status"&gt;&lt;div class="ina-alert__content"&gt;
  &lt;div class="ina-alert__text-section"&gt;
    &lt;div class="ina-alert__title"&gt;Syarat pindah ke Siap · 3 dari 5 terpenuhi&lt;/div&gt;
    &lt;div class="ina-alert__description"&gt;&lt;b&gt;Langkah berikutnya:&lt;/b&gt; Tambahkan pembeli di tab Para Pihak.&lt;/div&gt;
  &lt;/div&gt;
&lt;/div&gt;&lt;/div&gt;</t>
  </si>
  <si>
    <t>HE-ORDER-01 / HE-TERA-02 / IDDS-TN-02</t>
  </si>
  <si>
    <t>3.16</t>
  </si>
  <si>
    <t>Modal, Modal Confirmation, atau Drawer</t>
  </si>
  <si>
    <t>Pakai Modal (`role="dialog"`) untuk formulir singkat yang menjadi bagian alur, misalnya Tambah Objek. Pakai Modal Confirmation (`role="alertdialog"`, kelas `ina-modal-confirmation`) untuk meminta persetujuan sebelum aksi berdampak. Pakai Drawer untuk konten pendamping yang tidak menghentikan pekerjaan, misalnya Bantuan. Jangan menumpuk lebih dari dua lapis dialog.</t>
  </si>
  <si>
    <t xml:space="preserve">&lt;div class="ina-modal"&gt;&lt;div class="ina-modal__backdrop"&gt;&lt;/div&gt;&lt;div class="ina-modal__container"&gt;
  &lt;div class="ina-modal__dialog ina-modal__dialog--size-md ina-modal-confirmation" role="alertdialog" aria-modal="true" aria-labelledby="dlgJudul"&gt;
    &lt;div class="ina-modal__header"&gt;&lt;h2 class="ina-modal__title" id="dlgJudul"&gt;Pindah ke Siap?&lt;/h2&gt;
      &lt;button type="button" class="ina-modal__close-button" aria-label="Tutup dialog"&gt;…&lt;/button&gt;&lt;/div&gt;
    &lt;div class="ina-modal__body"&gt;&lt;p&gt;Status order ORD-CONTOH-002 akan berubah dari Pengumpulan ke Siap.&lt;/p&gt;&lt;/div&gt;
    &lt;div class="ina-modal__footer"&gt;
      &lt;button type="button" class="ina-button ina-button--secondary ina-button--md"&gt;Batal&lt;/button&gt;
      &lt;button type="button" class="ina-button ina-button--primary ina-button--md"&gt;Pindah ke Siap&lt;/button&gt;&lt;/div&gt;
  &lt;/div&gt;
&lt;/div&gt;&lt;/div&gt;</t>
  </si>
  <si>
    <t>HE-ORDER-02 / IDDS-TN-11 / IDDS-TN-31</t>
  </si>
  <si>
    <t>3.17</t>
  </si>
  <si>
    <t>Toast</t>
  </si>
  <si>
    <t>Toast memberi umpan balik setelah aksi berhasil, misalnya "Narahubung tersimpan." atau "Akta Jual Beli diaktifkan.". Sebut nama item, bukan kode. Toast memakai `role="status"`, hilang sendiri setelah sekitar 3 detik, dan punya tombol tutup berlabel. Jangan memakai Toast untuk galat isian; pesan galat isian tampil di bawah isian.</t>
  </si>
  <si>
    <t xml:space="preserve">&lt;div class="ina-toast ina-toast--state-positive ina-toast--style-solid ina-toast--visible" role="status"&gt;
  &lt;div class="ina-toast__icon"&gt;…&lt;/div&gt;
  &lt;div class="ina-toast__content"&gt;&lt;div class="ina-toast__text-area"&gt;&lt;p class="ina-toast__title"&gt;Objek ditambahkan.&lt;/p&gt;&lt;/div&gt;&lt;/div&gt;
  &lt;button class="ina-toast__close-button" aria-label="Tutup notifikasi"&gt;…&lt;/button&gt;
&lt;/div&gt;</t>
  </si>
  <si>
    <t>HE-USER-04 / IDDS-TN-31</t>
  </si>
  <si>
    <t>3.18</t>
  </si>
  <si>
    <t>Table dan Pagination</t>
  </si>
  <si>
    <t>Daftar memakai IDDS Table di dalam wadah berbingkai. Kolom aksi berada paling kanan. Di bawah tabel tampil "Menampilkan 1–10 dari N" dan IDDS Pagination. Tombol navigasi Pagination memakai `aria-label` "Sebelumnya" dan "Berikutnya"; tombol yang tidak dapat dipakai diberi `disabled`. Tajuk kolom ditulis lengkap, misalnya "Tanggal Akta".</t>
  </si>
  <si>
    <t xml:space="preserve">&lt;div class="ina-table"&gt;&lt;table class="ina-table__container"&gt;
  &lt;thead class="ina-table__header"&gt;&lt;tr&gt;&lt;th class="ina-table__header-cell"&gt;Kode&lt;/th&gt;…&lt;/tr&gt;&lt;/thead&gt;
  &lt;tbody class="ina-table__body"&gt;&lt;tr class="ina-table__row ina-table__row--clickable"&gt;…&lt;/tr&gt;&lt;/tbody&gt;
&lt;/table&gt;&lt;/div&gt;
&lt;div class="ina-pagination"&gt;&lt;div class="ina-pagination__nav-container"&gt;
  &lt;div class="ina-pagination__page-info"&gt;Halaman 1 dari 1&lt;/div&gt;
  &lt;div class="ina-pagination__nav-buttons"&gt;
    &lt;button type="button" class="ina-pagination__nav-button ina-pagination__nav-button--disabled" disabled aria-label="Sebelumnya"&gt;…&lt;/button&gt;
    &lt;button type="button" class="ina-pagination__page-button ina-pagination__page-button--active" aria-current="page"&gt;1&lt;/button&gt;
    &lt;button type="button" class="ina-pagination__nav-button ina-pagination__nav-button--disabled" disabled aria-label="Berikutnya"&gt;…&lt;/button&gt;
  &lt;/div&gt;&lt;/div&gt;&lt;/div&gt;</t>
  </si>
  <si>
    <t>IDDS-TN-14 / IDDS-TN-32</t>
  </si>
  <si>
    <t>3.19</t>
  </si>
  <si>
    <t>Tab Horizontal</t>
  </si>
  <si>
    <t>Tab memakai IDDS Tab Horizontal dengan warna brand (`ina-tab-horizontal--use-brand-color`). Wadah ber-`role="tablist"`, tiap tab ber-`role="tab"` dan `aria-selected`. Tab boleh memuat Badge kecil yang menunjukkan kelengkapan. Pindah tab tidak boleh membuang isian; simpan isian atau minta konfirmasi.</t>
  </si>
  <si>
    <t xml:space="preserve">&lt;div class="ina-tab-horizontal ina-tab-horizontal--use-brand-color"&gt;
  &lt;div class="ina-tab-horizontal__container" role="tablist"&gt;
    &lt;button type="button" role="tab" aria-selected="true" class="ina-tab-horizontal__tab ina-tab-horizontal__tab--size-md ina-tab-horizontal__tab--variant-outline ina-tab-horizontal__tab--selected"&gt;
      Para Pihak &lt;span class="ina-badge ina-badge--soft ina-badge--warning ina-badge--sm ina-badge--rounded-full"&gt;Kurang 2&lt;/span&gt;&lt;/button&gt;
  &lt;/div&gt;
&lt;/div&gt;</t>
  </si>
  <si>
    <t>HE-ORDER-04 / HE-TERA-03 / IDDS-TN-19</t>
  </si>
  <si>
    <t>3.20</t>
  </si>
  <si>
    <t>Stepper</t>
  </si>
  <si>
    <t>Proses bertahap memakai IDDS Stepper bernomor. Tiap langkah punya label dan keterangan singkat. Langkah selesai bertanda centang, langkah aktif diberi `aria-current="step"`. Di layar sempit pakai versi vertikal. Bila tahap membutuhkan waktu, sebutkan perkiraan waktunya.</t>
  </si>
  <si>
    <t xml:space="preserve">&lt;div class="ina-stepper ina-stepper--horizontal" role="list" aria-label="Langkah pendaftaran"&gt;
  &lt;div class="ina-stepper__item ina-stepper__item--completed" role="listitem"&gt;…&lt;div class="ina-stepper__label"&gt;Isi data&lt;/div&gt;&lt;/div&gt;
  &lt;div class="ina-stepper__separator ina-stepper__separator--completed"&gt;&lt;/div&gt;
  &lt;div class="ina-stepper__item ina-stepper__item--active" role="listitem" aria-current="step"&gt;
    &lt;div class="ina-stepper__icon-wrapper"&gt;&lt;span class="ina-stepper__step-number"&gt;2&lt;/span&gt;&lt;/div&gt;
    &lt;div class="ina-stepper__label"&gt;Verifikasi OTP&lt;/div&gt;&lt;/div&gt;
&lt;/div&gt;</t>
  </si>
  <si>
    <t>HE-EAW-01 / HE-TERA-07 / HE-OB-05</t>
  </si>
  <si>
    <t>3.21</t>
  </si>
  <si>
    <t>Tooltip</t>
  </si>
  <si>
    <t>Tooltip hanya menambah penjelasan singkat untuk istilah. Pemicunya tombol kecil yang dapat difokus dan berlabel isi tooltip. Tooltip tampil saat hover dan saat fokus keyboard. Informasi penting seperti syarat, alasan tombol nonaktif, atau keterangan "Segera hadir" wajib tertulis di layar, bukan hanya di tooltip atau atribut `title`.</t>
  </si>
  <si>
    <t xml:space="preserve">&lt;span class="ina-tooltip ina-tooltip--placement-top"&gt;
  &lt;button type="button" class="tip" aria-label="Saksi dibutuhkan 2 orang."&gt;?&lt;/button&gt;
  &lt;span class="ina-tooltip__content"&gt;&lt;span class="ina-tooltip__bubble"&gt;Saksi dibutuhkan 2 orang.&lt;/span&gt;&lt;/span&gt;
&lt;/span&gt;</t>
  </si>
  <si>
    <t>HE-MINUTA-01 / HE-CA-03 / IDDS-TN-31</t>
  </si>
  <si>
    <t>3.22</t>
  </si>
  <si>
    <t>Action Dropdown</t>
  </si>
  <si>
    <t>Aksi tambahan per baris dikumpulkan dalam IDDS Action Dropdown. Pemicunya berlabel nama item, misalnya "Aksi untuk Contoh Klien Dua", dengan `aria-haspopup="menu"` dan `aria-expanded`. Panel memakai `role="menu"` dan tiap item `role="menuitem"` dengan ikon serta label kata kerja.</t>
  </si>
  <si>
    <t xml:space="preserve">&lt;span class="ina-action-dropdown"&gt;
  &lt;button type="button" class="ina-button ina-button--secondary ina-button--sm" aria-haspopup="menu" aria-expanded="true" aria-label="Aksi untuk Contoh Klien Dua"&gt;…&lt;/button&gt;
  &lt;div class="ina-action-dropdown__menu ina-action-dropdown__menu--visible" role="menu"&gt;
    &lt;button type="button" class="ina-action-dropdown__item" role="menuitem"&gt;&lt;span class="ina-action-dropdown__item-icon"&gt;…&lt;/span&gt;&lt;span class="ina-action-dropdown__item-content"&gt;Ubah Data&lt;/span&gt;&lt;/button&gt;
    &lt;button type="button" class="ina-action-dropdown__item" role="menuitem"&gt;&lt;span class="ina-action-dropdown__item-icon"&gt;…&lt;/span&gt;&lt;span class="ina-action-dropdown__item-content"&gt;Tangguhkan&lt;/span&gt;&lt;/button&gt;
  &lt;/div&gt;
&lt;/span&gt;</t>
  </si>
  <si>
    <t>HE-USER-04</t>
  </si>
  <si>
    <t>3.23</t>
  </si>
  <si>
    <t>Accordion</t>
  </si>
  <si>
    <t>Pakai Accordion untuk pertanyaan umum dan isi panjang yang dapat dilipat. Tombol pembuka memakai `aria-expanded` dan `aria-controls`. Judul ditulis sebagai pertanyaan yang biasa diajukan pengguna.</t>
  </si>
  <si>
    <t xml:space="preserve">&lt;div class="ina-accordion"&gt;
  &lt;button type="button" class="ina-accordion__toggle" aria-expanded="false" aria-controls="faq-1"&gt;
    &lt;div class="ina-accordion__title"&gt;Mengapa tombol "Pindah ke …" tidak bisa ditekan?&lt;/div&gt;
    &lt;div class="ina-accordion__toggler"&gt;&lt;svg class="ina-accordion__icon" aria-hidden="true"&gt;…&lt;/svg&gt;&lt;/div&gt;&lt;/button&gt;
  &lt;div id="faq-1" class="ina-accordion__content"&gt;&lt;div class="ina-accordion__body"&gt;&lt;p&gt;Masih ada syarat yang belum terpenuhi. …&lt;/p&gt;&lt;/div&gt;&lt;/div&gt;
&lt;/div&gt;</t>
  </si>
  <si>
    <t>4. Pola interaksi dari saran HE</t>
  </si>
  <si>
    <t>4.1</t>
  </si>
  <si>
    <t>Pola interaksi dari saran HE</t>
  </si>
  <si>
    <t>Pesan galat di bawah isian</t>
  </si>
  <si>
    <t>Pesan galat isian tampil di bawah isian yang bermasalah, bukan di Toast atau kotak terpisah. Saat pesan galat muncul, beri kelas status galat pada wrapper, pasang `aria-invalid="true"`, dan isi teks galat di elemen yang dirujuk `aria-describedby`. Saat isian diperbaiki, pesan galat hilang dan teks bantuan semula kembali.</t>
  </si>
  <si>
    <t xml:space="preserve">function galat(id, pesan) {
  document.querySelector('#f-' + id + ' .ina-text-field__wrapper').classList.add('ina-text-field__wrapper--status-error');
  document.getElementById(id).setAttribute('aria-invalid', 'true');
  const h = document.getElementById('h-' + id);
  h.textContent = pesan; h.classList.add('ina-text-field__helper-text--error');
}
// saat input: hapus kelas galat, removeAttribute('aria-invalid'), kembalikan teks bantuan</t>
  </si>
  <si>
    <t>IDDS-TN-02 / HE-CA-06 / HE-ORDER-07</t>
  </si>
  <si>
    <t>4.2</t>
  </si>
  <si>
    <t>Waktu validasi</t>
  </si>
  <si>
    <t>Periksa format isian saat pengguna meninggalkan isian (focusout), misalnya email dan nomor WhatsApp. Saat Simpan, periksa semua isian sekaligus, tampilkan semua pesan galat, lalu pindahkan fokus ke isian pertama yang salah. Jangan memvalidasi setiap ketikan sebelum pengguna selesai mengisi.</t>
  </si>
  <si>
    <t xml:space="preserve">form.addEventListener('focusout', e =&gt; { if (e.target.matches('input[type=email]')) cekEmail(e.target); });
// saat Simpan
if (adaGalat) { document.querySelector('[aria-invalid="true"]').focus(); return; }</t>
  </si>
  <si>
    <t>HE-TERA-05 / IDDS-TN-29</t>
  </si>
  <si>
    <t>4.3</t>
  </si>
  <si>
    <t>Pesan galat sistem di dalam kartu</t>
  </si>
  <si>
    <t>Pesan galat dari server yang tidak terkait dengan satu isian (misalnya email atau kata sandi salah) tampil sebagai Alert critical di dalam kartu, di atas isian. Pesan menyebut penyebab dan cara memperbaiki.</t>
  </si>
  <si>
    <t>Gagal masuk — Email atau kata sandi salah. Periksa kembali, lalu coba lagi.</t>
  </si>
  <si>
    <t>IDDS-TN-02 / HE-LOGIN-02</t>
  </si>
  <si>
    <t>4.4</t>
  </si>
  <si>
    <t>Konfirmasi aksi berdampak</t>
  </si>
  <si>
    <t>Aksi yang mengubah status, menghapus, mengirim, atau tidak dapat dibatalkan memakai Modal Confirmation. Judul berupa pertanyaan ("Hapus pihak?"). Isi menyebut nama item, dampaknya, dan kalimat "Tindakan ini tidak dapat dibatalkan." bila berlaku. Label tombol aksi sama dengan kata kerja di judul. Untuk aksi yang mengunci data atau tidak dapat dikembalikan, tombol aksi baru aktif setelah pengguna mencentang pernyataan.</t>
  </si>
  <si>
    <t xml:space="preserve">Judul: Tandai order Selesai?
Isi: Setelah ditandai Selesai, data order dikunci dan status tidak dapat dikembalikan.
Centang: Saya sudah memastikan minuta akta final dan data order benar.
Tombol: Batal · Tandai Selesai</t>
  </si>
  <si>
    <t>HE-ORDER-02 / HE-EAW-03 / HE-EAWK-04 / HE-VERIF-03 / IDDS-TN-34</t>
  </si>
  <si>
    <t>4.5</t>
  </si>
  <si>
    <t>Penjaga perubahan belum disimpan</t>
  </si>
  <si>
    <t>Formulir panjang menampilkan status simpan di dekat tombol Simpan dengan `aria-live="polite"` ("2 perubahan belum disimpan" / "Semua perubahan sudah disimpan"). Bila pengguna pindah menu dengan perubahan yang belum disimpan, tampilkan dialog "Tinggalkan halaman ini?" dengan tombol "Tetap di Sini" dan "Tinggalkan". Pasang juga `beforeunload`. Menutup formulir di dalam Modal yang sudah diisi meminta konfirmasi "Buang perubahan?".</t>
  </si>
  <si>
    <t xml:space="preserve">window.addEventListener('beforeunload', e =&gt; { if (adaPerubahan()) { e.preventDefault(); e.returnValue = ''; } });
Judul: Tinggalkan halaman ini?
Isi: Ada 2 perubahan pengaturan yang belum disimpan. Perubahan itu akan hilang jika Anda meninggalkan halaman ini.
Tombol: Tetap di Sini · Tinggalkan</t>
  </si>
  <si>
    <t>IDDS-TN-13 / IDDS-TN-19 / IDDS-TN-22 / IDDS-TN-29 / HE-TERA-03</t>
  </si>
  <si>
    <t>4.6</t>
  </si>
  <si>
    <t>Aksi selalu terlihat</t>
  </si>
  <si>
    <t>Tombol aksi pada baris, kartu, atau blok selalu tampil, bukan hanya saat kursor berada di atasnya. Pengguna layar sentuh dan keyboard tidak dapat memakai aksi yang hanya muncul saat hover.</t>
  </si>
  <si>
    <t>Blok Halaman Depan: tombol Naik, Turun, Duplikat, dan Hapus tampil tetap di kepala blok.</t>
  </si>
  <si>
    <t>IDDS-TN-18 / IDDS-TN-23</t>
  </si>
  <si>
    <t>4.7</t>
  </si>
  <si>
    <t>Tombol ikon menyebut nama item</t>
  </si>
  <si>
    <t>Tombol yang hanya berisi ikon wajib memakai `aria-label` yang menyebut aksi dan nama itemnya. Label yang sama boleh dipasang di `title` sebagai tooltip bawaan.</t>
  </si>
  <si>
    <t xml:space="preserve">&lt;button type="button" class="ina-button ina-button--tertiary ina-button--sm" aria-label="Hapus akta-ttd-contoh.pdf" title="Hapus akta-ttd-contoh.pdf"&gt;…&lt;/button&gt;
&lt;button … aria-label="Ubah Beranda"&gt;…&lt;/button&gt;
&lt;button … aria-label="Cabut tautan untuk Contoh Pembeli Satu"&gt;Cabut Tautan&lt;/button&gt;</t>
  </si>
  <si>
    <t>IDDS-TN-18 / IDDS-TN-33</t>
  </si>
  <si>
    <t>4.8</t>
  </si>
  <si>
    <t>Status sistem terlihat</t>
  </si>
  <si>
    <t>Tampilkan keadaan yang sedang berlangsung di layar. Untuk OTP, Badge "Kode berlaku m:ss" (brand) berubah kuning saat sisa waktu kurang dari 1 menit, lalu merah "Waktu habis". Saat kode kedaluwarsa, kolom kode dan tombol Verifikasi dinonaktifkan, dan "Kirim ulang dalam 0:59" tampil sejak kode dikirim. Untuk e-Meterai, kartu status menampilkan Badge "Belum diaktifkan" atau "Aktif" beserta email tersimpan. Untuk TERA dan registrasi CA, tampilkan tahapan beserta perkiraan waktunya. Durasi OTP di prototipe adalah angka contoh; ambil nilainya dari server.</t>
  </si>
  <si>
    <t xml:space="preserve">&lt;span class="ina-badge ina-badge--soft ina-badge--brand ina-badge--md ina-badge--rounded-full"&gt;Kode berlaku 4:59&lt;/span&gt;
&lt;span class="ina-badge ina-badge--soft ina-badge--warning …"&gt;Kode berlaku 0:45&lt;/span&gt;
&lt;span class="ina-badge ina-badge--soft ina-badge--error …"&gt;Waktu habis&lt;/span&gt;</t>
  </si>
  <si>
    <t>IDDS-TN-07 / HE-EAW-04 / IDDS-TN-35 / HE-TERA-07 / HE-CA-01</t>
  </si>
  <si>
    <t>4.9</t>
  </si>
  <si>
    <t>Cegah kesalahan dan jelaskan tombol nonaktif</t>
  </si>
  <si>
    <t>Nonaktifkan tombol bila syaratnya belum terpenuhi, lalu tulis alasannya sebagai teks di dekat tombol. Hubungkan teks itu dengan `aria-describedby`. Jangan menaruh alasan di atribut `title` saja.</t>
  </si>
  <si>
    <t xml:space="preserve">&lt;button type="button" class="ina-button ina-button--secondary ina-button--md" disabled aria-describedby="alasanKirim"&gt;Kirim Salinan&lt;/button&gt;
&lt;p id="alasanKirim"&gt;Unggah scan akta yang sudah ditandatangani untuk mengaktifkan Kirim Salinan.&lt;/p&gt;</t>
  </si>
  <si>
    <t>IDDS-TN-33 / HE-ORDER-01</t>
  </si>
  <si>
    <t>4.10</t>
  </si>
  <si>
    <t>Syarat dan langkah berikutnya terlihat</t>
  </si>
  <si>
    <t>Sebelum pengguna menekan tombol pindah tahap, tampilkan daftar syarat dengan tanda terpenuhi atau belum, tautan "Lengkapi" untuk syarat yang kurang, dan satu kalimat "Langkah berikutnya".</t>
  </si>
  <si>
    <t>Syarat pindah ke Siap · 4 dari 5 terpenuhi — Objek tanah (Lengkapi). Langkah berikutnya: Tambahkan objek tanah di tab Objek.</t>
  </si>
  <si>
    <t>HE-ORDER-01 / HE-ORDER-05 / HE-ORDER-08 / HE-EAWK-03</t>
  </si>
  <si>
    <t>4.11</t>
  </si>
  <si>
    <t>Kurangi langkah berulang</t>
  </si>
  <si>
    <t>Sediakan jalan pintas untuk pekerjaan berulang. Contoh: "Simpan &amp; Tambah Lagi" di dialog Tambah Para Pihak, aksi massal Aktifkan/Tangguhkan untuk user terpilih, dan impor user dari berkas.</t>
  </si>
  <si>
    <t>Tombol dialog: Batal · Simpan &amp; Tambah Lagi · Simpan</t>
  </si>
  <si>
    <t>HE-ORDER-03 / HE-USER-02 / HE-UMUM-03</t>
  </si>
  <si>
    <t>4.12</t>
  </si>
  <si>
    <t>Bantuan di setiap halaman</t>
  </si>
  <si>
    <t>Setiap halaman punya tombol Bantuan (lihat bagian 2). Istilah teknis di formulir (CA, eKYC, TERA, NJOP, renvoi) dijelaskan dengan teks bantuan atau Tooltip di dekat istilahnya.</t>
  </si>
  <si>
    <t>Status CA — Status sertifikat elektronik (CA) dari Peruri. CA aktif diperlukan agar user dapat menandatangani akta secara elektronik.</t>
  </si>
  <si>
    <t>HE-UMUM-02 / HE-USER-01 / HE-VERIF-01 / HE-CA-03</t>
  </si>
  <si>
    <t>5. Aksesibilitas</t>
  </si>
  <si>
    <t>5.1</t>
  </si>
  <si>
    <t>Aksesibilitas</t>
  </si>
  <si>
    <t>Label dan isian terhubung</t>
  </si>
  <si>
    <t>Setiap isian punya `&lt;label for&gt;` yang cocok dengan `id` isian. Kelompok isian tanpa label tunggal (OTP, Button Group) memakai `role="group"` dengan `aria-labelledby` atau `aria-label`. Atur `autocomplete` yang tepat (username, current-password, new-password, email, tel, one-time-code).</t>
  </si>
  <si>
    <t>&lt;label class="ina-text-field__label" for="mEmail"&gt;Email&lt;/label&gt; … &lt;input id="mEmail" autocomplete="username"&gt;</t>
  </si>
  <si>
    <t>IDDS-TN-29</t>
  </si>
  <si>
    <t>5.2</t>
  </si>
  <si>
    <t>Peran ARIA untuk tab, menu, dan dialog</t>
  </si>
  <si>
    <t>Tab: `role="tablist"`, `role="tab"`, `aria-selected`. Menu aksi: `role="menu"` dan `role="menuitem"`. Dialog: `role="dialog"` atau `role="alertdialog"` dengan `aria-modal="true"` dan `aria-labelledby` ke judulnya. Toggle: `role="switch"` dengan `aria-checked`. Halaman aktif di sidebar dan Pagination: `aria-current="page"`.</t>
  </si>
  <si>
    <t>&lt;div class="ina-modal__dialog" role="alertdialog" aria-modal="true" aria-labelledby="dlgJudul"&gt;</t>
  </si>
  <si>
    <t>5.3</t>
  </si>
  <si>
    <t>Keyboard</t>
  </si>
  <si>
    <t>Semua aksi dapat dijalankan dengan keyboard. Enter dan Spasi menjalankan tombol, Toggle, dan zona unggah. Esc menutup dropdown, dialog, dan Drawer (dialog paling atas lebih dulu). Pada Select Dropdown, panah atas dan bawah berpindah pilihan, lalu Enter atau Spasi memilih. Pada tab, perpindahan dengan tombol panah disarankan sesuai pola WAI-ARIA; sebagian prototipe saat ini hanya mendukung klik dan Enter.</t>
  </si>
  <si>
    <t xml:space="preserve">if (e.key === 'ArrowDown' || e.key === 'ArrowUp') { e.preventDefault(); opsi[ke].focus(); }
if (e.key === 'Escape') { tutupPanel(); pemicu.focus(); }</t>
  </si>
  <si>
    <t>5.4</t>
  </si>
  <si>
    <t>Fokus terlihat</t>
  </si>
  <si>
    <t>Jangan menghapus garis fokus (`outline: none`) tanpa pengganti. Pakai cincin fokus bawaan IDDS yang memakai warna brand. Elemen klik buatan (baris tabel, zona unggah) wajib dapat difokus.</t>
  </si>
  <si>
    <t>/* Salah */ button:focus { outline: none; }</t>
  </si>
  <si>
    <t>5.5</t>
  </si>
  <si>
    <t>Arah fokus saat dialog dibuka dan ditutup</t>
  </si>
  <si>
    <t>Saat dialog dibuka, fokus pindah ke isian pertama atau tombol Tutup. Saat galat, fokus pindah ke isian pertama yang salah. Saat dropdown, dialog, atau Drawer ditutup, kembalikan fokus ke tombol pemicunya agar pengguna keyboard tidak kehilangan posisi.</t>
  </si>
  <si>
    <t xml:space="preserve">const pemicu = document.activeElement;
bukaDialog();
// saat ditutup
pemicu.focus();</t>
  </si>
  <si>
    <t>5.6</t>
  </si>
  <si>
    <t>Pesan asinkron dibacakan</t>
  </si>
  <si>
    <t>Pesan yang muncul tanpa pindah halaman memakai wilayah langsung: `role="status"` atau `aria-live="polite"` untuk Toast, jumlah hasil pencarian, status simpan, dan teks bantuan OTP; `role="alert"` untuk pesan galat yang perlu segera diketahui. Hitung mundur OTP memakai `aria-live="off"` agar tidak dibacakan setiap detik.</t>
  </si>
  <si>
    <t>&lt;p class="ringkas-saring" aria-live="polite"&gt;Menampilkan 4 dari 12 order.&lt;/p&gt;</t>
  </si>
  <si>
    <t>5.7</t>
  </si>
  <si>
    <t>Warna bukan satu-satunya tanda</t>
  </si>
  <si>
    <t>Status, galat, dan kelengkapan selalu disertai teks atau ikon, tidak hanya warna. Contoh: lencana berisi kata, syarat memakai ikon centang atau seru, galat berisi kalimat.</t>
  </si>
  <si>
    <t>Badge "Kurang 2" (warning) + ikon seru; teks galat "Email wajib diisi."</t>
  </si>
  <si>
    <t>HE-ORDER-04</t>
  </si>
  <si>
    <t>5.8</t>
  </si>
  <si>
    <t>Bahasa dokumen dan gambar</t>
  </si>
  <si>
    <t>Pasang `lang="id"` pada `&lt;html&gt;`. Logo dan gambar bermakna punya `alt`; ikon hiasan diberi `aria-hidden="true"`.</t>
  </si>
  <si>
    <t>&lt;img src="logo.png" alt="E-PPAT"&gt;  &lt;svg aria-hidden="true"&gt;…&lt;/svg&gt;</t>
  </si>
  <si>
    <t>6. Bahasa dan pedoman penulisan</t>
  </si>
  <si>
    <t>6.1</t>
  </si>
  <si>
    <t>Bahasa dan pedoman penulisan</t>
  </si>
  <si>
    <t>Kata baku</t>
  </si>
  <si>
    <t>Pakai kata baku sesuai KBBI dan EYD V. Istilah teknis yang belum punya padanan umum (OTP, CA, eKYC, PDF) boleh dipakai dan dijelaskan di Bantuan.</t>
  </si>
  <si>
    <t xml:space="preserve">Hindari | Pakai
password | kata sandi
upload / download | unggah / unduh
Non-aktif / non aktif | nonaktif
kadaluarsa / kadaluwarsa | kedaluwarsa
e-Meterai / e-Meterai | e-Meterai
field wajib | isian wajib
Sukses | Berhasil
Login / Logout | Masuk / Keluar
Refresh sesi | Sesi diperpanjang
Buat role / Pilih Role | Tambah peran / Peran
Save Layout | Simpan Tata Letak
Code/Name, Excerpt, Tags, Density | Kode/Nama, Ringkasan, Tag, Kerapatan
Segera | Segera hadir</t>
  </si>
  <si>
    <t>IDDS-TN-06 / IDDS-TN-16 / IDDS-TN-26 / IDDS-TN-37</t>
  </si>
  <si>
    <t>6.2</t>
  </si>
  <si>
    <t>Catatan sisa istilah lama di prototipe</t>
  </si>
  <si>
    <t>Beberapa label prototipe masih mengikuti live dan perlu diseragamkan saat implementasi: Daftar Pengguna masih menulis "Password Awal", "Reset Password", dan "Non-aktif"; layar Masuk dan Akun Saya sudah memakai "Kata Sandi". Pakai bentuk baku di kode baru.</t>
  </si>
  <si>
    <t>Password Awal → Kata Sandi Awal; Reset Password → Atur Ulang Kata Sandi; Non-aktif → Nonaktif</t>
  </si>
  <si>
    <t>HE-USER-03 / IDDS-TN-26</t>
  </si>
  <si>
    <t>6.3</t>
  </si>
  <si>
    <t>User dan calon pengguna</t>
  </si>
  <si>
    <t>Pakai "user" untuk akun yang sudah terdaftar di aplikasi, sesuai nama menu Daftar Pengguna. Pakai "calon pengguna" untuk orang yang belum punya akun, misalnya pada pendaftaran mandiri. Pakai "pengguna" dalam kalimat umum tentang orang yang memakai layar.</t>
  </si>
  <si>
    <t xml:space="preserve">Peran ini dapat diberikan kepada user.
Saat aktif, calon pengguna dapat mendaftar sendiri ke kantor PPAT ini melalui halaman registrasi.</t>
  </si>
  <si>
    <t>6.4</t>
  </si>
  <si>
    <t>Huruf kapital</t>
  </si>
  <si>
    <t>Label tombol memakai Huruf Kapital di Setiap Kata, kecuali kata tugas (dan, ke, di, untuk). Judul halaman dan judul kartu mengikuti nama menu. Judul dialog, pesan, teks bantuan, dan isi Toast memakai huruf kapital hanya di awal kalimat dan nama diri.</t>
  </si>
  <si>
    <t xml:space="preserve">Tombol: Buat Permohonan · Simpan &amp; Tambah Lagi · Kembali ke Halaman Masuk · Muat Ulang · Coba Lagi
Dialog: Hapus pihak?
Toast: Narahubung tersimpan.</t>
  </si>
  <si>
    <t>IDDS-TN-06</t>
  </si>
  <si>
    <t>6.5</t>
  </si>
  <si>
    <t>Pola pesan galat</t>
  </si>
  <si>
    <t>Pesan galat singkat, menyebut nama isian, dan menunjukkan cara memperbaiki. Pakai pola baku berikut dan akhiri dengan titik.</t>
  </si>
  <si>
    <t xml:space="preserve">Isian kosong: &lt;Nama isian&gt; wajib diisi.   → Email wajib diisi.
Pilihan kosong: &lt;Nama isian&gt; wajib dipilih.   → Peran wajib dipilih.
Format salah: Format &lt;nama isian&gt; tidak valid. Contoh: &lt;contoh&gt;.   → Format email tidak valid. Contoh: nama@contoh.id.
Aturan khusus: Nomor WhatsApp harus diawali 62 dan terdiri atas 10–14 digit. Contoh: 6281200000000.
Persetujuan: Centang persetujuan ketentuan layanan untuk melanjutkan.</t>
  </si>
  <si>
    <t>IDDS-TN-02 / HE-CA-06 / HE-LOGIN-02</t>
  </si>
  <si>
    <t>6.6</t>
  </si>
  <si>
    <t>Kalimat SPOK yang manusiawi</t>
  </si>
  <si>
    <t>Tulis kalimat pendek dengan subjek dan predikat yang jelas. Sapa pengguna dengan "Anda". Hindari kalimat pasif bertumpuk dan istilah developer (DOMPurify, sanitize, WYSIWYG, RBAC, siblings, di-assign). Catatan untuk tim tidak ditampilkan di layar aplikasi.</t>
  </si>
  <si>
    <t xml:space="preserve">Benar: Unggah scan akta yang sudah ditandatangani untuk mengaktifkan Kirim Salinan.
Salah: Fitur kirim di-disable karena file scan belum ter-upload.</t>
  </si>
  <si>
    <t>IDDS-TN-26 / IDDS-TN-37</t>
  </si>
  <si>
    <t>6.7</t>
  </si>
  <si>
    <t>Tanda baca</t>
  </si>
  <si>
    <t>Kalimat pesan, subjudul, dan teks bantuan diakhiri titik. Label isian, label tombol, judul kolom, dan teks lencana tidak diakhiri titik. Judul konfirmasi diakhiri tanda tanya. Pakai elipsis "…" untuk placeholder pencarian dan label proses ("Memverifikasi…"). Pakai tanda pisah pendek "–" untuk rentang (Senin–Jumat, 1–10). Pakai "·" sebagai pemisah ringkas dalam satu baris.</t>
  </si>
  <si>
    <t xml:space="preserve">Placeholder: Cari kode atau narahubung…
Rentang: Menampilkan 1–10 dari 24
Pemisah: SK · 1/KEP-CONTOH/2020</t>
  </si>
  <si>
    <t>6.8</t>
  </si>
  <si>
    <t>Tanggal, waktu, dan uang</t>
  </si>
  <si>
    <t>Di tabel dan lencana pakai tanggal singkat "26 Okt 2026". Di kalimat pakai tanggal lengkap "26 Oktober 2026". Waktu memakai titik dan zona waktu: "09.25 WIB" (WITA/WIT sesuai Pengaturan kantor). Uang memakai "Rp" tanpa spasi dan titik pemisah ribuan sesuai EYD V: "Rp10.000"; di React pakai `toLocaleString('id-ID')`.</t>
  </si>
  <si>
    <t xml:space="preserve">const rp = n =&gt; 'Rp' + Number(n).toLocaleString('id-ID');   // Rp750.000.000
Diperbarui pukul 09.25 WIB
Dibuat 26 Okt 2026</t>
  </si>
  <si>
    <t>IDDS-TN-13</t>
  </si>
  <si>
    <t>6.9</t>
  </si>
  <si>
    <t>Keputusan terbuka: scan atau pindaian</t>
  </si>
  <si>
    <t>Prototipe Salinan Akta memakai "scan" pada label ("Belum ada scan", "Unggah scan akta") dan "hasil pindai" pada deskripsi. KBBI memadankan scan dengan "pindai". Tim perlu memutuskan satu istilah, lalu menerapkannya di label, lencana, pesan, dan Bantuan.</t>
  </si>
  <si>
    <t>Pilihan: Belum ada scan · atau · Belum ada pindaian</t>
  </si>
  <si>
    <t>IDDS-TN-32 / IDDS-TN-33</t>
  </si>
  <si>
    <t>6.10</t>
  </si>
  <si>
    <t>Keputusan terbuka: ejaan menu e-Meterai</t>
  </si>
  <si>
    <t>Di teks dan pesan pakai "e-Meterai" (KBBI: meterai; penulisan Peruri). Nama menu sidebar "Aktivasi e-Meterai" belum diubah karena dipakai di semua menu; usulan "Aktivasi e-Meterai" menunggu keputusan tim. Prototipe Penandatanganan Akta masih menulis "E-Meterai" di awal label; seragamkan setelah keputusan.</t>
  </si>
  <si>
    <t>Usulan menu: Aktivasi e-Meterai</t>
  </si>
  <si>
    <t>IDDS-TN-37 / HE-EAW-02</t>
  </si>
  <si>
    <t>7. Daftar periksa sebelum rilis</t>
  </si>
  <si>
    <t>7.1</t>
  </si>
  <si>
    <t>Daftar periksa sebelum rilis</t>
  </si>
  <si>
    <t>Tema dan warna</t>
  </si>
  <si>
    <t>Salin daftar ini ke deskripsi PR.</t>
  </si>
  <si>
    <t xml:space="preserve">- [ ] CSS IDDS dimuat sebelum eppat.css dan &lt;html&gt; ber-data-brand="eppat"
- [ ] Warna memakai token var(--ina-…), tanpa heksadesimal baru dan tanpa !important luas
- [ ] Teks lolos kontras 4,5:1 (teks besar dan batas komponen 3:1)
- [ ] Lencana status memakai varian dari tabel pemetaan</t>
  </si>
  <si>
    <t>7.2</t>
  </si>
  <si>
    <t>Periksa setiap halaman baru atau yang diubah.</t>
  </si>
  <si>
    <t xml:space="preserve">- [ ] Breadcrumb, satu H1, dan subjudul satu kalimat SPOK bertitik
- [ ] Tombol Bantuan di kanan judul membuka Drawer khusus halaman
- [ ] Ada keadaan kosong, memuat, dan gagal (dengan Coba Lagi)
- [ ] Halaman tidak bergeser ke samping di lebar 360 px; tabel lebar digulir di dalam wadahnya</t>
  </si>
  <si>
    <t>7.3</t>
  </si>
  <si>
    <t>Formulir</t>
  </si>
  <si>
    <t>Periksa setiap formulir.</t>
  </si>
  <si>
    <t xml:space="preserve">- [ ] Setiap isian punya label for/id dan tanda * untuk isian wajib
- [ ] Pesan galat tampil di bawah isian dengan aria-invalid dan aria-describedby
- [ ] Validasi format saat focusout; Simpan memeriksa semua isian dan memfokuskan galat pertama
- [ ] Pesan galat mengikuti pola "… wajib diisi." / "Format … tidak valid. Contoh: …"
- [ ] Perubahan belum disimpan dijaga (status simpan, dialog Tinggalkan, beforeunload)</t>
  </si>
  <si>
    <t>IDDS-TN-02 / IDDS-TN-29</t>
  </si>
  <si>
    <t>7.4</t>
  </si>
  <si>
    <t>Aksi dan umpan balik</t>
  </si>
  <si>
    <t>Periksa setiap tombol dan aksi.</t>
  </si>
  <si>
    <t xml:space="preserve">- [ ] Satu tombol primary per area; Hapus di tabel tidak dominan
- [ ] Aksi berdampak meminta Modal Confirmation yang menyebut nama item dan dampaknya
- [ ] Toast setelah aksi berhasil menyebut nama item
- [ ] Tombol nonaktif disertai alasan tertulis (bukan title)
- [ ] Aksi baris selalu terlihat; tombol ikon ber-aria-label dengan nama item</t>
  </si>
  <si>
    <t>HE-ORDER-02 / IDDS-TN-33</t>
  </si>
  <si>
    <t>7.5</t>
  </si>
  <si>
    <t>Uji dengan keyboard saja.</t>
  </si>
  <si>
    <t xml:space="preserve">- [ ] Semua aksi dapat dijalankan dengan Tab, Enter, Spasi, dan Esc
- [ ] Fokus terlihat dan kembali ke pemicu setelah dialog, dropdown, atau Drawer ditutup
- [ ] Toast, hasil pencarian, dan status simpan memakai role="status" atau aria-live
- [ ] Status tidak hanya dibedakan dengan warna</t>
  </si>
  <si>
    <t>7.6</t>
  </si>
  <si>
    <t>Bahasa</t>
  </si>
  <si>
    <t>Baca ulang semua teks yang tampil.</t>
  </si>
  <si>
    <t xml:space="preserve">- [ ] Kata baku: kata sandi, unggah, unduh, nonaktif, kedaluwarsa, e-Meterai
- [ ] Tombol Huruf Kapital di Setiap Kata; pesan berhuruf kapital di awal kalimat
- [ ] Tanggal 26 Okt 2026 / 26 Oktober 2026, waktu 09.25 WIB, uang Rp10.000
- [ ] Tanpa istilah developer dan tanpa catatan tim di layar</t>
  </si>
  <si>
    <t>IDDS-TN-37</t>
  </si>
  <si>
    <t>8. Peta acuan prototipe</t>
  </si>
  <si>
    <t>8.1</t>
  </si>
  <si>
    <t>Peta acuan prototipe</t>
  </si>
  <si>
    <t>Brand Mode E-PPAT IDDS</t>
  </si>
  <si>
    <t>Halaman ini menampilkan pratinjau token brand dan komponen IDDS dengan sakelar E-PPAT, Default IDDS, INAgov, serta Terang dan Gelap. Salin cara pemasangannya dan periksa warna komponen.</t>
  </si>
  <si>
    <t>Pola: token brand, mode gelap, aksen komponen</t>
  </si>
  <si>
    <t>8.2</t>
  </si>
  <si>
    <t>Permohonan AJB</t>
  </si>
  <si>
    <t>Prototipe ini menjadi acuan utama kerangka halaman (sidebar, header, breadcrumb, judul dan Bantuan). Salin Table + Pagination, Tab dengan lencana kelengkapan, Stepper status, Alert syarat dan langkah berikutnya, Modal Confirmation pindah status, dialog Tambah Para Pihak dan Tambah Objek, Drawer Bantuan, serta Toast.</t>
  </si>
  <si>
    <t>Pola: kerangka, daftar → detail, syarat, konfirmasi, isian Rp + terbilang</t>
  </si>
  <si>
    <t>HE-ORDER-01 s.d. 08 / HE-UMUM-02</t>
  </si>
  <si>
    <t>8.3</t>
  </si>
  <si>
    <t>Daftar Pengguna</t>
  </si>
  <si>
    <t>Salin Action Dropdown per baris, pilih banyak dan aksi massal, Badge status akun dan status CA dengan penjelasan, Password Input dengan daftar syarat, dan File Upload untuk impor user.</t>
  </si>
  <si>
    <t>Pola: aksi massal, menu aksi, impor berkas</t>
  </si>
  <si>
    <t>HE-USER-01 s.d. 04 / HE-UMUM-03</t>
  </si>
  <si>
    <t>8.4</t>
  </si>
  <si>
    <t>Verifikasi</t>
  </si>
  <si>
    <t>Salin saringan dan jumlah hasil ber-aria-live, lama menunggu dan dampaknya, konfirmasi sebelum verifikasi disimpan, serta navigasi detail yang konsisten.</t>
  </si>
  <si>
    <t>Pola: cari-saring-urut, konfirmasi simpan</t>
  </si>
  <si>
    <t>HE-VERIF-01 s.d. 05</t>
  </si>
  <si>
    <t>8.5</t>
  </si>
  <si>
    <t>Penandatanganan Akta</t>
  </si>
  <si>
    <t>Salin Stepper bernomor dengan status langkah, konfirmasi sebelum stempel, tanda tangan, dan e-Meterai, dialog OTP dengan masa berlaku, serta cari dan saring daftar akta.</t>
  </si>
  <si>
    <t>Pola: wizard, OTP, konfirmasi bercentang</t>
  </si>
  <si>
    <t>HE-EAW-01 s.d. 07</t>
  </si>
  <si>
    <t>8.6</t>
  </si>
  <si>
    <t>Penandatanganan Akta Klien</t>
  </si>
  <si>
    <t>Salin langkah berikutnya yang menonjol, konfirmasi tanda tangan, OTP, kontak kantor, dan panduan pengguna baru.</t>
  </si>
  <si>
    <t>Pola: alur klien, OTP</t>
  </si>
  <si>
    <t>HE-EAWK-01 s.d. 07</t>
  </si>
  <si>
    <t>8.7</t>
  </si>
  <si>
    <t>Registrasi TERA</t>
  </si>
  <si>
    <t>Salin Tab tanpa kehilangan isian, validasi saat focusout, konfirmasi sebelum simpan, tahapan dengan perkiraan waktu, dan dialog "Tinggalkan halaman ini?".</t>
  </si>
  <si>
    <t>Pola: formulir bertab, penjaga perubahan</t>
  </si>
  <si>
    <t>HE-TERA-01 s.d. 07</t>
  </si>
  <si>
    <t>8.8</t>
  </si>
  <si>
    <t>Registrasi CA / Akun Saya</t>
  </si>
  <si>
    <t>Salin tahapan registrasi, Data Diri berkelompok, pesan galat di dekat isian, istilah CA/eKYC/swafoto yang dijelaskan, dan tab Akun dan Keamanan.</t>
  </si>
  <si>
    <t>Pola: formulir panjang berkelompok</t>
  </si>
  <si>
    <t>HE-CA-01 s.d. 08</t>
  </si>
  <si>
    <t>8.9</t>
  </si>
  <si>
    <t>Minuta</t>
  </si>
  <si>
    <t>Salin Tooltip istilah dan tombol, bilah alat editor, umpan balik setelah hapus, dan pesan ketika fitur belum dapat dipakai.</t>
  </si>
  <si>
    <t>Pola: editor, tooltip</t>
  </si>
  <si>
    <t>HE-MINUTA-01 s.d. 06</t>
  </si>
  <si>
    <t>8.10</t>
  </si>
  <si>
    <t>Onboarding, Daftar, dan Masuk platform</t>
  </si>
  <si>
    <t>Salin Stepper pendaftaran, syarat kata sandi berbentuk daftar centang, masa berlaku kode verifikasi, pesan galat masuk, dan hasil cek status.</t>
  </si>
  <si>
    <t>Pola: registrasi kantor, 2FA</t>
  </si>
  <si>
    <t>HE-REG-01 s.d. 04 / HE-LOGIN-01 s.d. 04 / HE-OB-01 s.d. 05</t>
  </si>
  <si>
    <t>8.11</t>
  </si>
  <si>
    <t>Tenant · Masuk &amp; Daftar</t>
  </si>
  <si>
    <t>Salin kartu Masuk dengan Alert pesan galat di dalam kartu, fungsi galat()/bersih() dengan aria-invalid, Password Input, OTP per kanal dengan hitung mundur, dan konfirmasi Kosongkan Formulir.</t>
  </si>
  <si>
    <t>Pola: galat isian, OTP, memuat</t>
  </si>
  <si>
    <t>IDDS-TN-01 s.d. 07</t>
  </si>
  <si>
    <t>8.12</t>
  </si>
  <si>
    <t>Tenant · System</t>
  </si>
  <si>
    <t>Salin Card dan aksi cepat Dasbor, matriks izin dengan Table dan Badge, Toggle ber-role switch, penjaga perubahan Pengaturan, dan Select Dropdown Log Aktivitas dengan keyboard lengkap.</t>
  </si>
  <si>
    <t>Pola: Toggle, dropdown keyboard, beforeunload</t>
  </si>
  <si>
    <t>IDDS-TN-08 s.d. 16</t>
  </si>
  <si>
    <t>8.13</t>
  </si>
  <si>
    <t>Tenant · CMS</t>
  </si>
  <si>
    <t>Salin aksi blok yang selalu terlihat, Tab dan sub-tab tema, cek kontras, Badge "Belum disimpan/Tersimpan", konfirmasi "Buang perubahan?", File Upload seret-lepas, dan pemilih media.</t>
  </si>
  <si>
    <t>Pola: penyusun tata letak, tema, media</t>
  </si>
  <si>
    <t>IDDS-TN-17 s.d. 26</t>
  </si>
  <si>
    <t>8.14</t>
  </si>
  <si>
    <t>Tenant · Akta</t>
  </si>
  <si>
    <t>Salin kartu dan grafik Dashboard dengan Muat Ulang dan Coba Lagi, validasi Profil Kantor, Toggle layanan berkonfirmasi, kolom Salinan, alasan tombol nonaktif, kirim dan cabut tautan, serta status e-Meterai.</t>
  </si>
  <si>
    <t>Pola: dasbor, unggah, status sistem</t>
  </si>
  <si>
    <t>IDDS-TN-27 s.d. 37</t>
  </si>
  <si>
    <t>8.15</t>
  </si>
  <si>
    <t>Platform · Masuk</t>
  </si>
  <si>
    <t>Halaman masuk admin platform memakai kartu yang sama dengan Masuk tenant. Salin juga pesan galat di dalam kartu untuk akun yang bukan admin platform, serta layar pemeliharaan.</t>
  </si>
  <si>
    <t>Pola: galat isian, 2FA, pemeliharaan</t>
  </si>
  <si>
    <t>IDDS-PL-01 s.d. 10</t>
  </si>
  <si>
    <t>8.16</t>
  </si>
  <si>
    <t>Platform · Monitoring</t>
  </si>
  <si>
    <t>Salin kerangka platform (sidebar tanpa kartu kantor, header tanpa Lihat Landing), status sistem dengan waktu pemeriksaan, subjudul yang sesuai isi untuk halaman hanya baca, saringan log berlabel, dan label aktivitas berbahasa Indonesia.</t>
  </si>
  <si>
    <t>Pola: kerangka platform, tabel hanya baca</t>
  </si>
  <si>
    <t>IDDS-PL-11 s.d. 20</t>
  </si>
  <si>
    <t>8.17</t>
  </si>
  <si>
    <t>Platform · Jenis Akta</t>
  </si>
  <si>
    <t>Salin Toggle status berkonfirmasi dampak, dialog bertumpuk dengan "Buang perubahan?", penulisan variabel {{kunci}}, pengecek isi berbentuk Alert, dan tombol urutan berlabel nama item.</t>
  </si>
  <si>
    <t>Pola: katalog + detail bertab, editor pasal</t>
  </si>
  <si>
    <t>IDDS-PL-21 s.d. 30</t>
  </si>
  <si>
    <t>8.18</t>
  </si>
  <si>
    <t>Platform · Sistem</t>
  </si>
  <si>
    <t>Salin Pengaturan Global bertab dengan simpan per tab, rahasia di Password Input, validasi URL/port/email di bawah isian, konfirmasi saat mematikan layanan, serta Akun Saya dengan 2FA terpandu.</t>
  </si>
  <si>
    <t>Pola: pengaturan bertab, rahasia, 2FA</t>
  </si>
  <si>
    <t>IDDS-PL-31 s.d. 40</t>
  </si>
  <si>
    <t>8.19</t>
  </si>
  <si>
    <t>Onboarding · Beranda, Kata Sandi &amp; Profil</t>
  </si>
  <si>
    <t>Salin Beranda publik dengan tombol Masuk dan Daftar, Lupa Kata Sandi dengan pesan terkirim dan kirim ulang berhitung mundur, Atur Ulang Kata Sandi dengan syarat sama seperti Registrasi, serta Profil Saya bertab dengan penjaga perubahan.</t>
  </si>
  <si>
    <t>Pola: halaman publik, atur ulang kata sandi, profil bertab</t>
  </si>
  <si>
    <t>IDDS-OB-01 s.d. 10</t>
  </si>
  <si>
    <t>8.20</t>
  </si>
  <si>
    <t>Onboarding · Monitoring</t>
  </si>
  <si>
    <t>Salin kerangka staf Onboarding (sidebar bertingkat, menu akun, remah Beranda), saringan tahap dengan Chip, lencana tahap berwarna, Detail Pendaftar dengan Stepper sembilan tahap, dan Provisi Manual berkonfirmasi.</t>
  </si>
  <si>
    <t>Pola: kerangka staf, daftar + detail, Stepper</t>
  </si>
  <si>
    <t>IDDS-OB-11 s.d. 20</t>
  </si>
  <si>
    <t>8.21</t>
  </si>
  <si>
    <t>Onboarding · Verifikasi</t>
  </si>
  <si>
    <t>Salin keputusan Setujui/Tolak dengan alasan wajib, detail sebagai halaman dengan tombol Kembali yang memulihkan saringan, serta label status pembayaran berbahasa Indonesia.</t>
  </si>
  <si>
    <t>Pola: verifikasi, alasan penolakan</t>
  </si>
  <si>
    <t>IDDS-OB-21 s.d. 30</t>
  </si>
  <si>
    <t>8.22</t>
  </si>
  <si>
    <t>Onboarding · Pengaturan</t>
  </si>
  <si>
    <t>Salin pohon menu dengan tombol buka/tutup berlabel, konfirmasi hapus yang menyebut dampaknya, sakelar akses berlabel dengan konfirmasi cabut, isian nominal berpemisah ribuan, dan tombol nonaktif yang alasannya terlihat.</t>
  </si>
  <si>
    <t>Pola: pohon menu, matriks akses, katalog harga</t>
  </si>
  <si>
    <t>IDDS-OB-31 s.d. 45</t>
  </si>
  <si>
    <t>Backlog Usulan UI/UX E-PPAT (Peruri) — berdasarkan Heuristic Evaluation INA Digital</t>
  </si>
  <si>
    <t>Usulan dari laporan Heuristic Evaluation INA Digital. Sumber: Laporan Heuristic Evaluation ePPAT, Tim Riset INA Digital, Oktober 2026 (handover-eppat-prototipe-peruri/Hasil Evaluasi Riset HE - ePPAT.pdf) · Layar live: https://dev-app.eppat.id/t/default</t>
  </si>
  <si>
    <t>Kode</t>
  </si>
  <si>
    <t>Lingkungan</t>
  </si>
  <si>
    <t>Fitur / Layar</t>
  </si>
  <si>
    <t>Judul usulan</t>
  </si>
  <si>
    <t>Kondisi saat ini (live)</t>
  </si>
  <si>
    <t>Usulan perubahan</t>
  </si>
  <si>
    <t>Prinsip HE</t>
  </si>
  <si>
    <t>Hal. laporan</t>
  </si>
  <si>
    <t>Prioritas</t>
  </si>
  <si>
    <t>Layar terdampak</t>
  </si>
  <si>
    <t>Selesai bila</t>
  </si>
  <si>
    <t>Status</t>
  </si>
  <si>
    <t>Catatan</t>
  </si>
  <si>
    <t>Diperbarui</t>
  </si>
  <si>
    <t>Semua</t>
  </si>
  <si>
    <t>Umum (semua layar)</t>
  </si>
  <si>
    <t>Seluruh antarmuka: komponen IDDS dengan brand E-PPAT</t>
  </si>
  <si>
    <t>Aplikasi sudah memuat CSS IDDS, tetapi komponen IDDS baru dipakai pada tombol (ina-button) dan kolom isian (ina-text-field). Brand belum dipasang karena atribut data-brand belum ada, sehingga warna utama IDDS masih abu-abu bawaan. Tab, stepper, dialog, lencana, toast, dan tooltip masih dibuat sendiri.</t>
  </si>
  <si>
    <t>Pasang brand mode E-PPAT, yaitu berkas brand-eppat-idds/eppat.css dan atribut data-brand="eppat". Ganti tab, stepper, alert, lencana, tooltip, dialog konfirmasi, toast, dan pilihan (select) dengan komponen IDDS. Warna status mengikuti token sentimen IDDS. Kerangka halaman memakai pola Sidebar &amp; Header IDDS dengan warna brand E-PPAT. Sidebar berwarna hijau gelap (--ina-eppat-sidebar-bg), kartu kantor berwarna emas (--ina-eppat-office-card), serta latar dan watermark sama dengan live. Elemen penunjuk IDDS (tautan, langkah stepper, kotak centang, halaman aktif, dan breadcrumb aktif) memakai hijau brand, sedangkan warna status tetap mengikuti IDDS.</t>
  </si>
  <si>
    <t>H4 Consistency and Standards</t>
  </si>
  <si>
    <t>33, 40 (Kesimpulan no. 1)</t>
  </si>
  <si>
    <t>Tinggi</t>
  </si>
  <si>
    <t>Akun Saya › Registrasi TERA; Pengaturan Aplikasi › Dashboard Sistem; berlaku juga untuk layar lain</t>
  </si>
  <si>
    <t>Elemen &lt;html&gt; memuat atribut data-brand="eppat" dan tombol utama berwarna #3D6B5E. Tab, stepper, alert, lencana, dialog, dan toast di layar Registrasi TERA memakai kelas komponen IDDS (ina-*).</t>
  </si>
  <si>
    <t>Prototipe siap</t>
  </si>
  <si>
    <t>Warna status saat ini diatur melalui CMS › Tema Tampilan. Tim perlu menyepakati apakah warna status mengikuti IDDS.</t>
  </si>
  <si>
    <t>Setiap halaman: tombol Bantuan dan kontak dukungan mudah diakses</t>
  </si>
  <si>
    <t>Seluruh platform tidak memiliki menu bantuan, panduan penggunaan, atau kontak dukungan. Skor Help &amp; Documentation adalah 10,6 untuk platform dan 0 untuk Registrasi TERA.</t>
  </si>
  <si>
    <t>Tempatkan tombol Bantuan (IDDS Button sekunder) di kanan judul setiap halaman, bukan di header global. Isi Bantuan khusus untuk halaman tersebut, misalnya Dasbor, Akun Saya, Registrasi TERA, atau Permohonan AJB. Bantuan tampil di IDDS Drawer dari kanan (bottom sheet di ponsel) dan berisi langkah singkat, pertanyaan umum (IDDS Accordion), serta kontak dukungan. Registrasi TERA juga memuat tautan "Lihat panduan pendaftaran", dan istilah pada formulir dijelaskan dengan IDDS Tooltip.</t>
  </si>
  <si>
    <t>H10 Help and Documentation</t>
  </si>
  <si>
    <t>19, 20, 40 (Kesimpulan no. 2)</t>
  </si>
  <si>
    <t>Judul setiap halaman (Dasbor, Akun Saya, Registrasi TERA, Permohonan AJB)</t>
  </si>
  <si>
    <t>Setiap halaman menampilkan tombol Bantuan di kanan judul yang membuka Drawer berisi panduan khusus halaman tersebut. Drawer tertutup melalui tombol ×, klik di luar panel, atau tombol Esc.</t>
  </si>
  <si>
    <t>Perlu konfirmasi</t>
  </si>
  <si>
    <t>Email, nomor telepon, dan jam layanan masih berupa contoh. Tim E-PPAT perlu menyediakan kontak dukungan resmi.</t>
  </si>
  <si>
    <t>HE-TERA-01</t>
  </si>
  <si>
    <t>Tenant</t>
  </si>
  <si>
    <t>Pengingat TERA: tombol "Daftar TERA" membuka formulir pendaftaran</t>
  </si>
  <si>
    <t>Tombol "Daftar TERA" pada pengingat membuka Akun Saya di tab Akun (kode live: onRegister: () =&gt; j("account")). Pengguna harus mencari tab Registrasi TERA sendiri.</t>
  </si>
  <si>
    <t>Tombol "Daftar TERA" langsung membuka Akun Saya di tab Registrasi TERA.</t>
  </si>
  <si>
    <t>H7 Recognition rather than Recall; H4 Consistency and Standards</t>
  </si>
  <si>
    <t>20, 22</t>
  </si>
  <si>
    <t>Pengaturan Aplikasi › Dashboard Sistem (pengingat TERA) › Akun Saya</t>
  </si>
  <si>
    <t>Klik tombol "Daftar TERA" membuka halaman Akun Saya dengan tab Registrasi TERA aktif.</t>
  </si>
  <si>
    <t>HE-TERA-02</t>
  </si>
  <si>
    <t>Menu profil: Registrasi TERA tetap mudah ditemukan setelah pengingat ditutup</t>
  </si>
  <si>
    <t>Setelah pengingat ditutup, pendaftaran hanya dapat dibuka dari Akun Saya › tab Registrasi TERA tanpa penanda apa pun.</t>
  </si>
  <si>
    <t>Tambahkan item "Registrasi TERA" beserta lencana status di menu profil. Beri titik penanda pada tab Registrasi TERA selama pendaftaran belum selesai. Saat pengingat ditutup, tampilkan toast: "Pengingat ditutup. Anda tetap dapat mendaftar melalui menu profil › Registrasi TERA."</t>
  </si>
  <si>
    <t>H7 Recognition rather than Recall; H1 Visibility of System Status</t>
  </si>
  <si>
    <t>22</t>
  </si>
  <si>
    <t>Sedang</t>
  </si>
  <si>
    <t>Header (menu profil), Akun Saya</t>
  </si>
  <si>
    <t>Menu profil memuat item Registrasi TERA dengan lencana status. Tab Registrasi TERA menampilkan titik penanda saat status Belum terdaftar atau Ditolak, dan toast muncul saat pengingat ditutup.</t>
  </si>
  <si>
    <t>HE-TERA-03</t>
  </si>
  <si>
    <t>Formulir TERA: isian tidak hilang saat berpindah tab</t>
  </si>
  <si>
    <t>Isian formulir TERA terhapus ketika pengguna membuka tab Akun atau Keamanan lalu kembali, karena state formulir berada di dalam komponen tab.</t>
  </si>
  <si>
    <t>Pertahankan isian saat pengguna berpindah tab. Beri titik penanda pada tab Registrasi TERA bila ada perubahan yang belum disimpan. Jika pengguna meninggalkan halaman Akun Saya sebelum menyimpan, tampilkan dialog "Tinggalkan halaman ini?" dengan pilihan "Tetap di Sini" dan "Tinggalkan".</t>
  </si>
  <si>
    <t>H3 User Control and Freedom; H6 Error Prevention</t>
  </si>
  <si>
    <t>21</t>
  </si>
  <si>
    <t>Akun Saya › Registrasi TERA</t>
  </si>
  <si>
    <t>Isian Nama Lengkap tetap ada setelah pengguna membuka tab Keamanan lalu kembali ke Registrasi TERA. Klik menu Dashboard sebelum menyimpan memunculkan dialog konfirmasi.</t>
  </si>
  <si>
    <t>HE-TERA-04</t>
  </si>
  <si>
    <t>Formulir TERA: petunjuk pengisian singkat dan jelas</t>
  </si>
  <si>
    <t>Formulir hanya berisi label, dan keterangan atas memakai istilah teknis: "Lengkapi data pendaftaran TERA Peruri. Catatan: API registrasi TERA Peruri belum tersedia — data ini dikumpulkan dan diajukan manual oleh admin platform. Anda tidak perlu kirim email sendiri."</t>
  </si>
  <si>
    <t>Ganti keterangan atas menjadi: "TERA adalah stempel resmi kantor Anda yang dibubuhkan pada setiap akta elektronik. Lengkapi data di bawah ini, lalu admin E-PPAT akan mengajukannya ke Peruri untuk Anda." Tambahkan baris "Siapkan" yang menyebut 4 dokumen dan satu kalimat pengantar di setiap bagian. Beri contoh format (placeholder) dan penjelasan istilah (tooltip ?) untuk SK, SIUP/KBLI, Nomor PPAT, Jenis Dokumen, dan Email Admin. Tambahkan penghitung 16 angka pada NIK dan pratinjau stempel.</t>
  </si>
  <si>
    <t>H10 Help and Documentation; H2 Match between System and the Real World</t>
  </si>
  <si>
    <t>Keterangan atas, baris Siapkan, kalimat pengantar bagian, placeholder, dan tooltip sama persis dengan prototipe. Layar tidak memuat kata "API".</t>
  </si>
  <si>
    <t>HE-TERA-05</t>
  </si>
  <si>
    <t>Formulir TERA: isian yang salah langsung terlihat</t>
  </si>
  <si>
    <t>Pesan dari server ("input tidak valid: nama lengkap &amp; NIK wajib diisi") muncul sebagai satu kotak di atas formulir tanpa penanda pada isiannya. Laporan lengkap UX Metric Lab menunjukkan bahwa NIK berisi "f" dan "52" tetap diterima walaupun formatnya salah.</t>
  </si>
  <si>
    <t>Periksa isian wajib dan formatnya sebelum data dikirim. Beri garis merah dan pesan singkat di bawah isian yang salah, misalnya "NIK harus 16 angka." Gulirkan halaman dan pindahkan fokus ke isian pertama yang salah. Tampilkan "Periksa kembali: …" beserta tautan di samping tombol. Batasi isian NIK, NPWP, telepon, dan rekening agar hanya menerima angka. Hapus pesan begitu isian diperbaiki.</t>
  </si>
  <si>
    <t>H5 Help Users Recognize, Diagnose, and Recover from Errors; H6 Error Prevention; H1 Visibility of System Status</t>
  </si>
  <si>
    <t>20, 21</t>
  </si>
  <si>
    <t>Klik Simpan pada formulir kosong memberi garis merah dan pesan pada Nama Lengkap, NIK, dan Isi Stempel, lalu memindahkan kursor ke Nama Lengkap. Huruf yang diketik di isian NIK tidak masuk.</t>
  </si>
  <si>
    <t>HE-TERA-06</t>
  </si>
  <si>
    <t>Registrasi TERA: konfirmasi sebelum pendaftaran disimpan</t>
  </si>
  <si>
    <t>Tombol "Simpan Pendaftaran" langsung menyimpan tanpa konfirmasi.</t>
  </si>
  <si>
    <t>Tampilkan dialog "Simpan pendaftaran TERA?" berisi ringkasan Nama Lengkap, NIK (tersamar), ID PPAT/Nomor SK, Isi Stempel, dan dokumen terlampir, dengan tombol "Periksa Lagi" dan "Simpan". Setelah data tersimpan, tampilkan toast "Pendaftaran TERA berhasil disimpan."</t>
  </si>
  <si>
    <t>H6 Error Prevention</t>
  </si>
  <si>
    <t>20</t>
  </si>
  <si>
    <t>Klik Simpan Pendaftaran dengan data valid memunculkan dialog ringkasan. Tombol Periksa Lagi menutup dialog tanpa menyimpan, sedangkan tombol Simpan menyimpan data dan menampilkan toast.</t>
  </si>
  <si>
    <t>HE-TERA-07</t>
  </si>
  <si>
    <t>Registrasi TERA: tahapan proses dan perkiraan waktu</t>
  </si>
  <si>
    <t>Layar hanya menampilkan lencana status dan kalimat "Data pendaftaran tersimpan. Pengajuan ke Peruri dilakukan manual oleh admin platform (API registrasi TERA belum tersedia)." tanpa perkiraan waktu.</t>
  </si>
  <si>
    <t>Tampilkan IDDS Stepper 4 tahap: Isi data › Pemeriksaan admin (± 1–2 hari kerja) › Proses Peruri (± 3–5 hari kerja) › Stempel aktif. Tambahkan satu kalimat langkah berikutnya untuk setiap status. Dialog konfirmasi menyebut "Perkiraan waktu sampai stempel aktif: ± 4–7 hari kerja". Bila pendaftaran ditolak, tampilkan alasan penolakannya.</t>
  </si>
  <si>
    <t>H1 Visibility of System Status; H10 Help and Documentation</t>
  </si>
  <si>
    <t>Pada setiap status (Belum terdaftar, Menunggu Diproses, Diajukan ke Peruri, Aktif, Ditolak), posisi stepper dan kalimat keterangan sama dengan simulasi di prototipe. Dialog konfirmasi memuat perkiraan waktu sampai stempel aktif.</t>
  </si>
  <si>
    <t>Angka perkiraan waktu dan contoh alasan penolakan masih berupa contoh. Angka tersebut perlu dipastikan dengan tim E-PPAT dan Peruri.</t>
  </si>
  <si>
    <t>HE-ORDER-01</t>
  </si>
  <si>
    <t>Kartu status order: syarat pindah status terlihat sebelum tombol ditekan</t>
  </si>
  <si>
    <t>Tombol "Pindah ke Siap" selalu aktif. Kekurangan data (penjual, pembeli, 2 saksi, objek) baru diberitahukan melalui dialog "Data belum lengkap" setelah tombol ditekan. Syarat tahap lain tidak diperiksa.</t>
  </si>
  <si>
    <t>Tampilkan daftar "Syarat pindah ke &lt;tahap&gt;" di bawah stepper. Setiap syarat diberi tanda centang atau peringatan dan tautan "Lengkapi" yang membuka tab terkait atau dialog Tambah Pihak dengan tipe pihak terisi. Nonaktifkan tombol "Pindah ke …" sampai semua syarat terpenuhi, dengan keterangan "Lengkapi N syarat di atas untuk melanjutkan." Baru → Pengumpulan memerlukan narahubung. Pengumpulan → Siap memerlukan narahubung, penjual, pembeli, 2 saksi, dan objek, ditambah pasangan bila objek merupakan harta bersama. Siap → Penyusunan memerlukan verifikasi yang sudah selesai.</t>
  </si>
  <si>
    <t>H6 Error Prevention; H1 Visibility of System Status</t>
  </si>
  <si>
    <t>23, 24</t>
  </si>
  <si>
    <t>Permohonan AJB › detail (kartu status)</t>
  </si>
  <si>
    <t>Pada order berstatus Pengumpulan yang belum memiliki pembeli, tombol "Pindah ke Siap" nonaktif dan daftar syarat menandai Pembeli, Saksi, serta Objek. Tombol menjadi aktif setelah semua syarat dilengkapi.</t>
  </si>
  <si>
    <t>Keputusan tim: status TIDAK berpindah otomatis (berbeda dengan saran laporan HE) sehingga kendali tetap di tangan Asisten.</t>
  </si>
  <si>
    <t>HE-ORDER-02</t>
  </si>
  <si>
    <t>Detail order: konfirmasi sebelum pindah status</t>
  </si>
  <si>
    <t>Status langsung berpindah saat tombol ditekan, termasuk perpindahan Drafting → Selesai yang mengunci data order dan tidak dapat dikembalikan.</t>
  </si>
  <si>
    <t>Tampilkan dialog "Pindah ke &lt;tahap&gt;?" setiap kali status akan dipindahkan. Dialog menjelaskan dampaknya dan menyatakan bahwa status tidak dapat dikembalikan. Untuk Penyusunan → Selesai, tampilkan dialog "Tandai order Selesai?" berisi ringkasan order dan kotak centang "Saya sudah memastikan minuta akta final dan data order benar." Tombol Tandai Selesai baru aktif setelah kotak tersebut dicentang.</t>
  </si>
  <si>
    <t>H6 Error Prevention; H3 User Control and Freedom</t>
  </si>
  <si>
    <t>24</t>
  </si>
  <si>
    <t>Permohonan AJB › detail</t>
  </si>
  <si>
    <t>Klik "Pindah ke …" selalu memunculkan dialog konfirmasi. Pada Penyusunan → Selesai, tombol konfirmasi nonaktif sampai kotak centang dicentang.</t>
  </si>
  <si>
    <t>HE-ORDER-03</t>
  </si>
  <si>
    <t>Dialog Tambah Pihak: beberapa pihak ditambahkan tanpa membuka ulang dialog</t>
  </si>
  <si>
    <t>Pihak ditambahkan satu per satu: pengguna mengklik Tambah Pihak, mengisi data, mengklik Simpan, lalu dialog tertutup. Langkah ini diulang untuk setiap pihak berikutnya.</t>
  </si>
  <si>
    <t>Tambahkan tombol sekunder "Simpan &amp; Tambah Lagi" di samping tombol Simpan pada dialog Tambah Para Pihak. Setelah data disimpan, kosongkan formulir dan pilih otomatis Tipe Pihak yang masih kurang (Penjual → Pembeli → Saksi). Bagian atas dialog menampilkan "Belum ada: …" dan jumlah pihak yang sudah ditambahkan. Data diri tetap diambil dari klien terdaftar.</t>
  </si>
  <si>
    <t>H8 Flexibility and Efficiency of Use; H7 Recognition rather than Recall</t>
  </si>
  <si>
    <t>Permohonan AJB › tab Para Pihak › Tambah Pihak</t>
  </si>
  <si>
    <t>Penjual, pembeli, dan 2 saksi dapat ditambahkan dalam satu kali membuka dialog, dan tipe pihak berikutnya terpilih otomatis.</t>
  </si>
  <si>
    <t>Keputusan tim: impor berkas tidak dipakai di Permohonan AJB (lihat HE-UMUM-03).</t>
  </si>
  <si>
    <t>Tab detail dan daftar order: penanda kelengkapan data</t>
  </si>
  <si>
    <t>Tab Narahubung, Para Pihak, Objek, dan Dokumen hanya berisi nama tab. Daftar order hanya menampilkan status.</t>
  </si>
  <si>
    <t>Beri penanda pada tab: Narahubung ✓ atau "Kurang", Para Pihak "Kurang N" atau "Lengkap", Objek berupa jumlah atau "Belum ada", dan Dokumen berupa jumlah terunggah dari total. Tambahkan kolom Kelengkapan di daftar order dengan nilai "Lengkap", "Kurang N data", atau "Dikunci" (untuk order Selesai).</t>
  </si>
  <si>
    <t>H1 Visibility of System Status; H7 Recognition rather than Recall</t>
  </si>
  <si>
    <t>Permohonan AJB › daftar &amp; detail</t>
  </si>
  <si>
    <t>Daftar order menampilkan kolom Kelengkapan, dan keempat tab detail menampilkan penanda yang sesuai dengan data order.</t>
  </si>
  <si>
    <t>Detail order: aksi utama lebih menonjol</t>
  </si>
  <si>
    <t>Tombol Hapus berwarna merah penuh di setiap baris tabel (pihak, objek, dokumen, order) sehingga bersaing dengan tombol utama. Layar tidak memberi petunjuk langkah berikutnya.</t>
  </si>
  <si>
    <t>Tampilkan satu kalimat "Langkah berikutnya: …" di kartu status, misalnya "Tambahkan pembeli di tab Para Pihak." Ganti tombol Hapus di tabel dengan tombol teks merah (tertiary). Dialog konfirmasi hapus yang sudah ada tetap dipakai.</t>
  </si>
  <si>
    <t>H9 Aesthetic and Minimalist Design</t>
  </si>
  <si>
    <t>23</t>
  </si>
  <si>
    <t>Rendah</t>
  </si>
  <si>
    <t>Kartu status menampilkan kalimat langkah berikutnya pada setiap status, dan tombol Hapus di tabel tidak lagi berlatar merah penuh.</t>
  </si>
  <si>
    <t>HE-ORDER-08</t>
  </si>
  <si>
    <t>Kartu status order: syarat Penyusunan dan Selesai mengikuti verifikasi dan minuta</t>
  </si>
  <si>
    <t>Setelah order berstatus Siap, tombol "Pindah ke Drafting" sudah aktif walaupun para pihak, objek, dan harga belum diverifikasi. Setelah Drafting, tombol "Pindah ke Selesai" langsung tersedia walaupun PPAT belum memfinalisasi minuta.</t>
  </si>
  <si>
    <t>Perluas kartu syarat HE-ORDER-01. Siap → Penyusunan memerlukan 3 syarat sesuai tiga tab menu Verifikasi: Verifikasi para pihak (CA), Verifikasi objek tanah, dan Verifikasi harga (NJOP). Setiap syarat diberi tautan "Verifikasi Sekarang". Penyusunan → Selesai memerlukan syarat "Minuta akta difinalisasi PPAT" dengan tautan "Buka Minuta" dan langkah berikutnya "Minta PPAT memfinalisasi minuta …". Tombol pindah status nonaktif sampai syarat terpenuhi.</t>
  </si>
  <si>
    <t>H5 Error Prevention; H1 Visibility of System Status</t>
  </si>
  <si>
    <t>23–24 (+ penelusuran live)</t>
  </si>
  <si>
    <t>Order Siap yang baru memiliki verifikasi para pihak menampilkan "1 dari 3 terpenuhi" dengan tombol Pindah ke Penyusunan nonaktif. Order Penyusunan yang minutanya belum final tidak dapat dipindahkan ke Selesai.</t>
  </si>
  <si>
    <t>Temuan lain di menu Verifikasi (belum masuk prototipe): "Cek CA Semua Pihak" memerlukan ±10–20 detik dengan tampilan spinner saja, dan "Harga Jual (dari order)" tampil "-" sampai NJOP diisi.</t>
  </si>
  <si>
    <t>Dialog Tambah Objek: formulir satu tampilan dengan isian wajib</t>
  </si>
  <si>
    <t>Dialog Tambah Objek memakai dua tab (Data Umum / Data Khusus AJB), dan Harga Jual Beli tersembunyi di tab kedua. Isian wajib tidak ditandai, dan harga tidak tampil di tabel objek.</t>
  </si>
  <si>
    <t>Gabungkan dialog menjadi satu formulir berkelompok: Data sertifikat (Jenis hak, Nomor sertifikat*, NIB, Luas*), Lokasi (Alamat objek*), Harga, dan Data tambahan opsional. Isian Harga jual beli* memakai awalan Rp, pemisah ribuan, dan terbilang di bawahnya (terbilang sudah ada di live). Data tambahan opsional memuat Nama pemilik terdaftar, NOP PBB, dan isian opsional lain dari live. Tambahkan keterangan "Isian bertanda * wajib diisi." Tampilkan pesan galat di bawah isian (IDDS Text Field error) dan hapus pesan saat isian diperbaiki. Tambahkan kolom "Harga jual beli" di tabel objek.</t>
  </si>
  <si>
    <t>H5 Error Prevention; H6 Recognition rather than Recall; H8 Aesthetic and Minimalist Design</t>
  </si>
  <si>
    <t>Permohonan AJB › detail › tab Objek › dialog Tambah Objek</t>
  </si>
  <si>
    <t>Penyimpanan objek tanpa luas, alamat, atau harga menampilkan pesan galat di bawah isian terkait. Harga 750000000 tampil "750.000.000" dengan terbilang "tujuh ratus lima puluh juta rupiah", dan tabel objek menampilkan Rp750.000.000.</t>
  </si>
  <si>
    <t>HE-ORDER-06</t>
  </si>
  <si>
    <t>Tabel Para Pihak: kontak konsisten dan data kosong ditandai</t>
  </si>
  <si>
    <t>Kolom Kontak di tabel Para Pihak berisi email untuk sebagian pihak dan nomor HP untuk pihak lain. NIK yang kosong hanya tampil "-" tanpa penanda.</t>
  </si>
  <si>
    <t>Ubah kolom menjadi "Kontak (email · HP)" yang selalu berisi dua baris: email, lalu No. HP. Isian yang kosong ditulis "No. HP belum diisi". Kolom "Nama · NIK" menampilkan NIK tersamar; bila NIK kosong, tampilkan IDDS Badge warning "NIK belum diisi".</t>
  </si>
  <si>
    <t>H4 Consistency and Standards; H1 Visibility of System Status</t>
  </si>
  <si>
    <t>Permohonan AJB › detail › tab Para Pihak</t>
  </si>
  <si>
    <t>Pada order dengan pembeli tanpa NIK, baris pembeli menampilkan lencana "NIK belum diisi". Semua baris menampilkan email dan No. HP pada posisi yang sama.</t>
  </si>
  <si>
    <t>HE-MINUTA-01</t>
  </si>
  <si>
    <t>Penyusunan Akta</t>
  </si>
  <si>
    <t>Detail minuta: istilah dan tombol dijelaskan singkat</t>
  </si>
  <si>
    <t>Tombol Preview Akta, Cek Ejaan, dan Beritahu PPAT tidak memiliki penjelasan, begitu pula beda pasal dan catatan. Pesan peran hanya berbunyi "Mode editor — Anda dapat mengubah konten pasal, tetapi tidak dapat memfinalisasi." Label kotak centang berbunyi "Tampilkan judul di dokumen (Preview, PDF)", dan tab Lampiran nonaktif tanpa keterangan.</t>
  </si>
  <si>
    <t>Pasang IDDS Tooltip pada tiga tombol atas yang menjelaskan fungsi tombol dalam satu kalimat. Tambahkan keterangan di panel kiri: "Pasal diberi nomor otomatis sesuai urutan. Catatan adalah bagian tanpa nomor, seperti pembukaan, para pihak, dan penutup." Beri keterangan kecil Pasal atau Catatan pada setiap item. Tampilkan pesan peran dengan IDDS Alert info: "Anda dapat menyunting isi pasal. Setelah selesai, klik Beritahu PPAT agar PPAT memeriksa dan memfinalisasi akta." Ubah label kotak centang menjadi "Tampilkan judul pasal di akta (berlaku untuk Preview dan PDF)". Beri ikon kunci dan tooltip "Segera hadir" pada tab Lampiran.</t>
  </si>
  <si>
    <t>H2 Match between System and the Real World; H10 Help and Documentation</t>
  </si>
  <si>
    <t>25, 26</t>
  </si>
  <si>
    <t>Penyusunan Akta › detail (kepala, panel kiri, editor)</t>
  </si>
  <si>
    <t>Kursor yang diarahkan ke tombol Cek Ejaan menampilkan penjelasannya. Panel kiri menjelaskan beda pasal dan catatan, dan pesan peran Asisten menyebut langkah Beritahu PPAT.</t>
  </si>
  <si>
    <t>HE-MINUTA-02</t>
  </si>
  <si>
    <t>Bilah alat editor minuta: lebih lega dan mudah dipindai</t>
  </si>
  <si>
    <t>Bilah alat berisi lebih dari 30 ikon kecil dalam dua baris tanpa nama alat, sehingga editor terasa padat dan sulit dipindai.</t>
  </si>
  <si>
    <t>Tampilkan alat yang sering dipakai dalam satu baris dengan pemisah antarkelompok dan tombol berukuran 34 px. Kelompoknya: Tebal, Miring, Garis bawah | Daftar bernomor, Daftar berpoin | Rata kiri, tengah, kanan, kanan-kiri | Urungkan, Ulangi. Di sisi kanan, tempatkan tombol "Sisipkan Variabel" dan menu "Lainnya". Menu Lainnya memuat judul besar/kecil, coret, hapus format, warna dan stabilo, ukuran huruf, spasi baris, tautan, gambar, tabel, sunting kode HTML, dan layar penuh. Setiap ikon memiliki tooltip berisi nama alat dan pintasan papan ketik. Tidak ada fitur live yang dihapus.</t>
  </si>
  <si>
    <t>H8 Aesthetic and Minimalist Design; H6 Recognition rather than Recall</t>
  </si>
  <si>
    <t>Penyusunan Akta › detail › tab Pasal (bilah alat)</t>
  </si>
  <si>
    <t>Bilah alat tampil dalam satu baris pada desktop 1440 px, dan semua alat live tetap dapat dijangkau langsung atau melalui menu Lainnya. Setiap ikon memiliki tooltip dan aria-label.</t>
  </si>
  <si>
    <t>HE-MINUTA-03</t>
  </si>
  <si>
    <t>Editor pasal: variabel tampil sebagai label yang mudah dibaca</t>
  </si>
  <si>
    <t>Naskah menampilkan kode mentah seperti {{saksi1_gelar}}{{saksi1_nama}}. Daftar variabel tidak memiliki pencarian, penjelasan, atau contoh nilai. Salah ketik variabel tidak terdeteksi di editor minuta sehingga baru ketahuan di PDF.</t>
  </si>
  <si>
    <t>Tampilkan variabel di editor sebagai label hijau yang tidak dapat disunting, misalnya "Nama Lengkap Penjual". Kode asli tetap disimpan dalam format yang sama ({{penjual_nama}}) dan dapat dilihat melalui centang "Tampilkan kode variabel". Tombol "Sisipkan Variabel" membuka panel berisi penjelasan singkat, kotak cari, dan daftar per kelompok (Akta, PPAT, Penjual, Pembeli, Objek, Saksi). Setiap variabel menampilkan label, kode, dan contoh nilai dari order ini. Variabel yang tidak dikenal tampil sebagai label kuning dengan IDDS Alert caution yang menyebut nama variabel dan saran penggantinya. Kursor yang jatuh di dalam label dipindahkan ke sesudah label.</t>
  </si>
  <si>
    <t>H2 Match between System and the Real World; H5 Error Prevention; H6 Recognition rather than Recall</t>
  </si>
  <si>
    <t>Penyusunan Akta › detail › tab Pasal (isi pasal)</t>
  </si>
  <si>
    <t>Catatan Para Pihak menampilkan label, bukan kode. Kata "saksi" di panel variabel menyaring 6 opsi, variabel salah ketik ditandai kuning dengan peringatan, dan isi yang disimpan tetap memakai format {{kode}}.</t>
  </si>
  <si>
    <t>HE-MINUTA-04</t>
  </si>
  <si>
    <t>Daftar pasal: umpan balik setelah hapus dan saat pindah pasal</t>
  </si>
  <si>
    <t>Setelah konfirmasi hapus, pasal hilang tanpa pesan. Peringatan perubahan belum disimpan memakai kotak dialog bawaan peramban ("Ada perubahan belum disimpan. Pindah tanpa menyimpan?"). Layar tidak menandai adanya perubahan yang belum disimpan.</t>
  </si>
  <si>
    <t>Setelah pasal dihapus, tampilkan IDDS Toast sukses "Pasal 8 dihapus." dengan keterangan "Nomor pasal lain sudah disesuaikan." Dialog konfirmasi hapus menyebut bila nomor pasal sesudahnya akan bergeser. Saat pengguna pindah pasal, pindah tab, atau menekan Kembali dengan perubahan belum disimpan, tampilkan IDDS Modal "Simpan perubahan dulu?" dengan tombol Batal, Buang Perubahan, dan Simpan &amp; Lanjutkan. Kaki editor menampilkan "Belum disimpan" atau "Semua perubahan tersimpan". Tombol Batal dan Simpan nonaktif bila tidak ada perubahan.</t>
  </si>
  <si>
    <t>H1 Visibility of System Status; H3 User Control and Freedom; H4 Consistency and Standards</t>
  </si>
  <si>
    <t>25, 27</t>
  </si>
  <si>
    <t>Penyusunan Akta › detail (panel kiri, kaki editor)</t>
  </si>
  <si>
    <t>Penghapusan pasal memunculkan toast berisi nama pasal. Penyuntingan lalu pemilihan pasal lain memunculkan IDDS Modal (bukan dialog peramban), dan tombol "Simpan &amp; Lanjutkan" menyimpan isinya.</t>
  </si>
  <si>
    <t>HE-MINUTA-05</t>
  </si>
  <si>
    <t>Cek Ejaan: pesan jelas saat fitur belum dapat digunakan</t>
  </si>
  <si>
    <t>Layar menampilkan teks abu-abu "input tidak valid: Gemini API Key belum diatur / fitur tidak aktif. Atur di Pengaturan Platform" tanpa warna peringatan dan dengan istilah teknis. Hasil cek ejaan berupa daftar sederhana.</t>
  </si>
  <si>
    <t>Saat fitur belum aktif, tampilkan IDDS Alert critical (merah, ikon peringatan, tombol tutup) berjudul "Cek Ejaan belum dapat digunakan". Isi alert: "Fitur pemeriksaan ejaan belum diaktifkan untuk kantor ini. Anda tetap dapat menyunting dan menyimpan pasal seperti biasa. Untuk mengaktifkannya, hubungi admin sistem (menu Pengaturan Platform)." Jangan tampilkan pesan teknis dari server kepada pengguna. Tampilkan hasil cek dalam kartu yang memuat jumlah temuan dan keterangan bahwa saran tidak mengubah teks secara otomatis. Setiap temuan memuat bagian akta, kata salah (dicoret merah) → saran (hijau), dan tautan "Buka pasal ini".</t>
  </si>
  <si>
    <t>H9 Help Users Recognize, Diagnose, and Recover from Errors; H2 Match between System and the Real World</t>
  </si>
  <si>
    <t>Penyusunan Akta › detail (di bawah pesan peran)</t>
  </si>
  <si>
    <t>Saat fitur nonaktif, klik Cek Ejaan menampilkan Alert merah tanpa kata "Gemini API Key" atau "input tidak valid". Saat fitur aktif, setiap temuan memiliki tautan ke pasalnya.</t>
  </si>
  <si>
    <t>Simulasi tersedia di protobar: Cek Ejaan Aktif / Belum diaktifkan. Pemetaan pesan galat server menjadi pesan yang ramah dilakukan di frontend.</t>
  </si>
  <si>
    <t>HE-MINUTA-06</t>
  </si>
  <si>
    <t>Tab Pengaturan Dokumen: otomatis mengikuti standar kantor</t>
  </si>
  <si>
    <t>Semua isian kertas, margin, huruf, dan footer langsung tampil sebagai formulir pada setiap akta. Variabel footer ditulis sebagai kode ({page}, {{ppat_nama}}, …) tanpa penjelasan arti.</t>
  </si>
  <si>
    <t>Buka tab Pengaturan Dokumen sebagai ringkasan berisi lencana "Mengikuti standar akta PPAT" (atau "Diubah khusus untuk akta ini"), daftar Kertas/Margin/Huruf/Footer, dan gambar halaman mini dengan area tulis. Formulir baru terbuka melalui tombol "Ubah untuk akta ini" dan dikelompokkan menjadi Kertas, Margin, Huruf, dan Footer. Satuan (cm/pt) ditampilkan di dalam isian. Tombol "Kembalikan ke standar" mengembalikan nilai standar. Kode footer ditampilkan bersama artinya (misalnya Nomor halaman · {page}) dengan tooltip.</t>
  </si>
  <si>
    <t>H7 Flexibility and Efficiency of Use; H2 Match between System and the Real World</t>
  </si>
  <si>
    <t>26</t>
  </si>
  <si>
    <t>Penyusunan Akta › detail › tab Pengaturan Dokumen</t>
  </si>
  <si>
    <t>Tab Pengaturan Dokumen terbuka sebagai ringkasan tanpa formulir. Perubahan margin kiri yang disimpan mengganti lencana menjadi "Diubah khusus untuk akta ini", dan tombol "Kembalikan ke standar" memulihkan lencana semula.</t>
  </si>
  <si>
    <t>Nilai standar diambil dari standar akta PPAT/Profil Kantor. Tim perlu mengonfirmasi sumber datanya.</t>
  </si>
  <si>
    <t>HE-MINUTA-07</t>
  </si>
  <si>
    <t>Penyusunan Akta: tata letak editor ala pengolah kata</t>
  </si>
  <si>
    <t>Laporan HE menilai tampilan editor terlalu padat dan sulit dipindai, serta kurva pembelajarannya tinggi. Di live, kepala halaman berisi empat tombol, daftar pasal berupa kartu bertumpuk di kiri, editor berada di dalam tab dengan bilah alat dua baris berisi lebih dari 30 ikon tanpa nama, dan naskah tampil di kotak sempit tanpa batas halaman sehingga tidak terlihat utuh seperti akta. Footer hanya muncul di PDF; live menulis "Hanya muncul di PDF (minuta/salinan), bukan di preview", sehingga footer tidak terlihat saat menyusun.</t>
  </si>
  <si>
    <t>Editor berada di dalam kerangka aplikasi seperti halaman lain, dengan menu samping, header, remah, dan judul halaman. Kepala naskah ringkas dalam satu baris: tombol kembali, ikon naskah, judul "Naskah Akta · kode", lencana jenis dan status, keterangan "Tersimpan" atau "Belum disimpan", serta penanda variabel yang belum terisi. Bilah menu (File, Edit, Tampilan, Sisipkan, Format, Alat, Bantuan) berada di bawah judul. Di kanan ada Pratinjau Akta dan satu tombol utama sesuai peran: Beritahu PPAT untuk Asisten dan Finalisasi Akta untuk PPAT; akta final hanya menampilkan Pratinjau Akta. Editor terdiri atas panel Navigasi di kiri, kertas di tengah, dan panel Bagian di kanan. Kedua panel dapat ditutup agar kertas lebih lega, dan area kerja mengisi tinggi layar di bawah kepala naskah. Panel Navigasi memakai ikon jenis bagian yang seragam (lingkaran bernomor untuk pasal, ¶ untuk catatan) dengan ikon ? yang menjelaskannya, dan bagian Lampiran dapat dilipat (tetap "Segera hadir"). Di margin kiri kertas, setiap bagian diberi lencana jenis dan nama bagian. Naskah dipecah per halaman sesuai ukuran kertas dan margin dari Pengaturan Dokumen. Bila footer diaktifkan, setiap halaman menampilkan footer dengan kode yang sudah diganti nilai contoh (nomor halaman, jumlah halaman, tanggal, nama PPAT, wilayah, nomor akta, jenis akta). Bila footer tidak aktif, penanda kecil "Halaman X dari Y" tampil di luar kertas dan tidak ikut tercetak. Perubahan Pengaturan Dokumen langsung memotong ulang halaman, dan klik kaki halaman membuka isian footer. Fitur tidak berubah dari live. Catatan untuk tim aplikasi: pemotongan halaman di prototipe hanya perkiraan dari tinggi blok; di aplikasi, pemotongan harus memakai aturan yang sama dengan pembuat PDF agar editor, pratinjau, dan PDF sama persis.</t>
  </si>
  <si>
    <t>H8 Aesthetic and Minimalist Design; H6 Recognition Rather Than Recall; H4 Consistency and Standards</t>
  </si>
  <si>
    <t>UX Metric Lab, Highlight #4 (skor 47,1)</t>
  </si>
  <si>
    <t>Akta › Penyusunan Akta › editor naskah</t>
  </si>
  <si>
    <t>Editor naskah tampil dalam tiga area (Navigasi, kertas seperti hasil cetak, panel Bagian) dengan satu bilah menu dan satu bilah alat. Kedua panel dapat ditutup, dan semua fitur tetap sama dengan live.</t>
  </si>
  <si>
    <t>Usulan tampilan saja; fitur sama dengan live. Prototipe Penyusunan Akta lama tetap tersedia sebagai pembanding.</t>
  </si>
  <si>
    <t>HE-EAW-01</t>
  </si>
  <si>
    <t>Penandatanganan Akta (PPAT)</t>
  </si>
  <si>
    <t>Stepper wizard: bernomor dengan status setiap langkah</t>
  </si>
  <si>
    <t>Stepper hanya berupa tiga ikon (Digital Stamp, E-Signature, E-Materai) tanpa nomor dan status, dan "E-Materai" salah eja. Panel memakai nama lain: "Step 1: Digital Stamp (TERA)" dan "Stempel TERA".</t>
  </si>
  <si>
    <t>Gunakan IDDS Stepper yang menampilkan nomor, nama langkah, dan status setiap langkah, misalnya "Selesai", "Giliran Pembeli · 1 dari 3 selesai", atau "Terkunci". Tandai langkah yang sedang dikerjakan sebagai aktif, dan buat setiap langkah dapat diklik untuk melihat detailnya. Pakai satu nama langkah secara konsisten di stepper, panel, dan pesan: Stempel TERA, Tanda Tangan Elektronik, dan e-Meterai. Ejaan "E-Materai" di live dibakukan menjadi "e-Meterai" (KBBI: meterai).</t>
  </si>
  <si>
    <t>H1 Visibility of System Status; H4 Consistency and Standards; H2 Match between System and the Real World</t>
  </si>
  <si>
    <t>28, 29</t>
  </si>
  <si>
    <t>Penandatanganan Akta › detail (stepper)</t>
  </si>
  <si>
    <t>Pada akta yang sedang dalam tahap tanda tangan, stepper menampilkan langkah 1 "Selesai", langkah 2 "Giliran … · n dari m selesai", dan langkah 3 "Terkunci". Nama langkah sama di seluruh layar.</t>
  </si>
  <si>
    <t>HE-EAW-02</t>
  </si>
  <si>
    <t>Panel wizard: istilah dijelaskan dan satu aksi utama yang jelas</t>
  </si>
  <si>
    <t>Istilah tidak dijelaskan. Panel berisi banyak tombol sejajar (Unduh PDF, Ingatkan, Mulai Ulang, Kirim OTP per pihak) tanpa penanda tindakan yang harus dilakukan sekarang.</t>
  </si>
  <si>
    <t>Beri garis putus-putus dan tooltip penjelasan pada istilah TERA, tanda tangan elektronik, CA, OTP, dan e-Meterai. Kolom "Status E-Akta" diganti menjadi "Status Penandatanganan" karena menu kini bernama Penandatanganan Akta. Istilah dan label lain yang belum dijelaskan (Status Penandatanganan, akta final, Minuta dan Salinan, status langkah, Stempel TERA, penanda tangan, nomor seri dan akun e-Meterai, kode OTP, status salinan, menu Salinan Akta, lampiran) diberi ikon "?" bertooltip; informasi penting seperti masa berlaku OTP dan syarat tetap tertulis di layar. Awali panel kanan dengan kartu "Langkah berikutnya" berisi satu kalimat dan satu tombol utama, misalnya "Kirim OTP ke Contoh Pembeli Satu". Bila tombol belum dapat dipakai, tulis alasannya di bawah tombol. Pindahkan aksi lain (unduh, ingatkan, mulai ulang) ke menu "Lainnya".</t>
  </si>
  <si>
    <t>H2 Match between System and the Real World; H8 Aesthetic and Minimalist Design; H10 Help and Documentation</t>
  </si>
  <si>
    <t>Penandatanganan Akta › detail (judul, panel kanan)</t>
  </si>
  <si>
    <t>Panel kanan hanya memiliki satu tombol utama pada setiap langkah. Kursor yang diarahkan ke "CA" atau "OTP" menampilkan penjelasan, dan setiap tombol nonaktif disertai alasan.</t>
  </si>
  <si>
    <t>HE-EAW-03</t>
  </si>
  <si>
    <t>Aksi wizard: konfirmasi sebelum stempel, tanda tangan, dan e-Meterai</t>
  </si>
  <si>
    <t>Tombol "Stempel TERA" langsung membuat QR dan mengirim OTP, tombol "Kirim OTP" langsung mengirim kode, dan tombol "Generate SN (kuota)" langsung memakai 1 kuota meterai. Konfirmasi hanya ada untuk Mulai Ulang.</t>
  </si>
  <si>
    <t>Tampilkan IDDS Modal Confirmation sebelum kode OTP TERA dikirim, sebelum OTP penanda tangan dikirim, dan sebelum e-Meterai dibubuhkan. Modal berisi ringkasan (akta, posisi/halaman, penanda tangan) dan penjelasan bahwa tindakan tidak dapat dibatalkan. Untuk stempel TERA dan e-Meterai, pengguna harus mencentang "Saya sudah memeriksa isi akta dan posisi …" sebelum melanjutkan.</t>
  </si>
  <si>
    <t>H5 Error Prevention; H3 User Control and Freedom</t>
  </si>
  <si>
    <t>Penandatanganan Akta › detail (aksi tiap langkah)</t>
  </si>
  <si>
    <t>Tombol Bubuhkan Stempel TERA membuka dialog konfirmasi, dan tombol "Kirim Kode OTP" baru aktif setelah kotak dicentang. Tidak ada OTP yang terkirim sebelum pengguna mengonfirmasi.</t>
  </si>
  <si>
    <t>Penggabungan Generate SN dan Tempel perlu dikonfirmasi tim teknis (urutan panggilan API Peruri).</t>
  </si>
  <si>
    <t>HE-EAW-04</t>
  </si>
  <si>
    <t>Dialog OTP wizard: masa berlaku kode terlihat di layar</t>
  </si>
  <si>
    <t>Dialog hanya berisi satu kolom angka dan teks "Kode OTP dikirim ke email …". Masa berlaku 15 menit hanya disebut di email, dan pesan galat berupa toast umum "OTP TERA salah / gagal."</t>
  </si>
  <si>
    <t>Gunakan komponen IDDS One-Time Password (6 kotak) pada dialog OTP. Tampilkan email tujuan yang disamarkan, hitung mundur "Kode berlaku 14:59", dan tombol "Kirim ulang kode" yang aktif setelah 60 detik. Tampilkan pesan galat yang spesifik: kode salah beserta sisa percobaan, atau kode kedaluwarsa beserta ajakan mengirim ulang.</t>
  </si>
  <si>
    <t>H1 Visibility of System Status; H9 Help Users Recognize, Diagnose, and Recover from Errors</t>
  </si>
  <si>
    <t>28, 30</t>
  </si>
  <si>
    <t>Penandatanganan Akta › dialog OTP (TERA &amp; tanda tangan)</t>
  </si>
  <si>
    <t>Dialog OTP menampilkan hitung mundur dari 15:00, dan kode salah menampilkan sisa percobaan. Setelah waktu habis, tombol verifikasi nonaktif dan tombol Kirim ulang kode tersedia.</t>
  </si>
  <si>
    <t>HE-EAW-05</t>
  </si>
  <si>
    <t>Penampil PDF wizard: langsung ke posisi stempel dan tanda tangan</t>
  </si>
  <si>
    <t>Pengguna berpindah halaman satu per satu dengan tombol "Prev"/"Next" untuk mencari halaman tanda tangan. Toast "Posisi stempel TERA ditempatkan di halaman 7" dapat muncul dua kali.</t>
  </si>
  <si>
    <t>Saat langkah dibuka atau giliran berganti, arahkan penampil PDF langsung ke halaman penanda terkait. Tambahkan baris "Lompat ke" di atas PDF berisi pintasan ke setiap penanda (Stempel · Hal. 8, Pembeli · Hal. 8, …). Lencana "Ditempatkan · Hal. 8" di kartu penanda tangan juga dapat diklik. Setelah stempel TERA berhasil, wizard otomatis pindah ke langkah Tanda Tangan Elektronik. Penanda dapat diseret ke halaman atau ditempatkan dengan tombol "Tempatkan di halaman ini", dan toast posisi hanya muncul sekali.</t>
  </si>
  <si>
    <t>H7 Flexibility and Efficiency of Use; H6 Recognition rather than Recall</t>
  </si>
  <si>
    <t>Penandatanganan Akta › penampil PDF</t>
  </si>
  <si>
    <t>Akta yang dibuka pada langkah tanda tangan langsung menampilkan halaman tanda tangan pihak yang mendapat giliran. Klik "Pembeli · Hal. 8" membuka halaman 8, dan setelah OTP TERA benar, langkah 2 terbuka tanpa klik tambahan.</t>
  </si>
  <si>
    <t>HE-EAW-06</t>
  </si>
  <si>
    <t>Wizard: kesiapan CA penanda tangan diperiksa sejak awal</t>
  </si>
  <si>
    <t>Penelusuran live dengan order uji ORD-261023-001 menunjukkan akun PPAT belum memiliki CA, tetapi wizard tetap dimulai tanpa peringatan bahwa tanda tangan PPAT di langkah 2 akan tertahan. Banner CA di atas halaman bersifat umum dan tidak dikaitkan dengan akta yang sedang diproses.</t>
  </si>
  <si>
    <t>Periksa CA semua penanda tangan, termasuk PPAT, saat wizard dibuka. Bila ada CA yang belum aktif, tampilkan IDDS Alert caution di bawah stepper yang menyebut nama dan peran penanda tangan serta dampaknya ("proses akan tertahan di langkah 2"). Alert memuat tautan Registrasi CA bila CA yang belum aktif adalah milik pengguna sendiri. Di daftar penanda tangan, lencana berubah menjadi "CA belum aktif" dan tombol Kirim OTP menjelaskan alasannya.</t>
  </si>
  <si>
    <t>28 (+ penelusuran live)</t>
  </si>
  <si>
    <t>Penandatanganan Akta › detail (di bawah stepper, daftar penanda tangan)</t>
  </si>
  <si>
    <t>Akta yang salah satu penanda tangannya belum memiliki CA langsung menampilkan peringatan berisi nama dan peran penanda tangan tersebut sebelum stempel TERA dibubuhkan.</t>
  </si>
  <si>
    <t>HE-CA-01</t>
  </si>
  <si>
    <t>Registrasi CA (Klien)</t>
  </si>
  <si>
    <t>Tab Registrasi CA: tahapan dan perkiraan waktu terlihat</t>
  </si>
  <si>
    <t>Layar hanya menampilkan lencana status ("Belum Registrasi", "Sedang Diproses") dan paragraf panjang tanpa perkiraan waktu. Tombol Lanjutkan eKYC, Buat Ulang Link, dan Cek Status CA tampil sejajar tanpa penanda aksi yang perlu dilakukan.</t>
  </si>
  <si>
    <t>Tampilkan IDDS Stepper 4 langkah berstatus di kartu Sertifikat Elektronik: (1) Lengkapi data diri, (2) Ajukan ke Peruri, (3) Verifikasi di portal Peruri (eKYC), dan (4) Pemeriksaan Peruri ± 1 hari kerja. Langkah 3 terdiri atas 5 tahap selama ± 6 menit: setujui syarat, OTP email dan SMS, periksa data pribadi, swafoto, dan kirim pengajuan. Di bawah stepper, tampilkan IDDS Alert "Langkah berikutnya: …" dengan satu tombol sesuai status: Lengkapi data, Ajukan Registrasi CA, Lanjutkan eKYC di Peruri, atau Registrasi Ulang. Saat pengajuan diperiksa Peruri, tampilkan perkiraan waktu dan pemberitahuan bahwa pengguna akan diberi tahu melalui notifikasi dan email.</t>
  </si>
  <si>
    <t>H1 Visibility of System Status; H8 Aesthetic and Minimalist Design</t>
  </si>
  <si>
    <t>34, 35</t>
  </si>
  <si>
    <t>Akun Saya › tab Registrasi CA</t>
  </si>
  <si>
    <t>Pada status menunggu eKYC, stepper menandai langkah 3 sebagai aktif dengan perkiraan waktu, dan layar hanya menampilkan satu tombol utama "Lanjutkan eKYC di Peruri".</t>
  </si>
  <si>
    <t>Perkiraan waktu masih berupa contoh; portal Peruri staging mencantumkan ±1 menit per tahap, sedangkan angka resmi pemeriksaan Peruri belum ada. Notifikasi saat CA aktif perlu dikonfirmasi tim teknis. Masa berlaku tautan onboarding tidak tercantum di email maupun di E-PPAT (penelusuran 26 Okt 2026) sehingga perlu data dari Peruri.</t>
  </si>
  <si>
    <t>HE-CA-02</t>
  </si>
  <si>
    <t>Tab Registrasi CA: data diri cukup diisi sekali</t>
  </si>
  <si>
    <t>Kekurangan data tampil di kotak kuning dengan tautan ke tab Data Diri (KTP) dan tab Akun, sehingga pengguna harus berpindah tab lalu kembali. Pengguna tidak tahu data apa yang sudah dikirim ke Peruri. Penelusuran live dengan akun uji yopmail menunjukkan dialog "Lengkapi Data Diri" saat masuk menyebut NIK, tempat lahir, tanggal lahir, dan alamat. Padahal, syarat CA adalah NIK, tempat lahir, tanggal lahir, foto KTP, dan nomor HP.</t>
  </si>
  <si>
    <t>Tampilkan daftar "Kelengkapan data diri" berisi 5 syarat beserta statusnya dan tombol "Lengkapi data". Tombol tersebut membuka IDDS Drawer yang hanya berisi isian yang kurang, tanpa pindah tab; data yang disimpan juga tercatat di tab Data Diri (KTP). Saat data siap diajukan, tampilkan bagian "Data yang otomatis dikirim ke Peruri" (NIK tersamar) dan kalimat "Data ini sudah terisi di portal Peruri, sehingga Anda cukup memeriksanya tanpa mengetik ulang." Langkah eKYC menjelaskan lima tahap di portal Peruri dan menyebut bahwa tautan yang sama dikirim ke email dari no-reply-digital@peruri.co.id. Konfirmasi pengajuan (IDDS Modal Confirmation) berisi ringkasan data dan centang "Data di atas sesuai dengan KTP saya." Dialog pengingat saat masuk memakai daftar yang sama. Tab Data Diri (KTP) tetap berupa formulir lengkap seperti live: NIK, NPWP, jenis kelamin, gelar, pekerjaan, tempat dan tanggal lahir, kota domisili, kewarganegaraan, alamat, RT/RW, kelurahan, kecamatan, provinsi, foto KTP, dan domisili sementara. Tab tersebut hanya ditambah tanda * pada isian yang diperlukan untuk akta dan registrasi CA.</t>
  </si>
  <si>
    <t>H7 Flexibility and Efficiency of Use; H2 Match between System and the Real World; H4 Consistency and Standards</t>
  </si>
  <si>
    <t>34, 35 (+ penelusuran live)</t>
  </si>
  <si>
    <t>Akun Saya › tab Registrasi CA; dialog pengingat saat masuk</t>
  </si>
  <si>
    <t>Pengguna dengan data kurang dapat melengkapi semua syarat CA dari tab Registrasi CA tanpa membuka tab lain. Daftar kekurangan di dialog pengingat sama dengan syarat CA.</t>
  </si>
  <si>
    <t>HE-CA-03</t>
  </si>
  <si>
    <t>Tab Registrasi CA: istilah CA, eKYC, dan swafoto dijelaskan</t>
  </si>
  <si>
    <t>Istilah CA dan eKYC tidak dijelaskan di tempat istilah itu muncul. Penjelasan CA berupa teks kecil di bawah kartu, dan teks memakai istilah "OTP &amp; liveness".</t>
  </si>
  <si>
    <t>Beri garis putus-putus dan IDDS Tooltip pada istilah teknis CA, eKYC, swafoto, dan spesimen. Ganti "liveness" dengan "swafoto". Ringkas penjelasan CA menjadi satu kalimat di kepala kartu: "Sertifikat ini diterbitkan Peruri dan diperlukan untuk menandatangani akta secara elektronik."</t>
  </si>
  <si>
    <t>34</t>
  </si>
  <si>
    <t>Kursor yang diarahkan ke "eKYC" menampilkan penjelasan, dan layar tidak memuat kata "liveness".</t>
  </si>
  <si>
    <t>HE-CA-04</t>
  </si>
  <si>
    <t>Banner CA: tombol langsung membuka tab Registrasi CA</t>
  </si>
  <si>
    <t>Tombol "Registrasi CA" dan "Cek / Lanjutkan" pada banner membuka tab Akun. Tombol "Lengkapi Sekarang" pada dialog pengingat juga membuka tab Akun, bukan Data Diri (terbukti di live pada 26 Okt 2026). Setelah banner ditutup, tidak ada jalan pintas yang terlihat.</t>
  </si>
  <si>
    <t>Ganti tombol banner menjadi "Buka Registrasi CA" yang membuka Akun Saya langsung di tab Registrasi CA. Teks banner mengikuti status: belum terdaftar, menunggu eKYC, diperiksa Peruri, atau kedaluwarsa. Saat banner ditutup, tampilkan toast "Registrasi CA tetap dapat dibuka dari menu profil di kanan atas". Tambahkan item "Registrasi CA" beserta lencana status di menu profil (IDDS Action Dropdown).</t>
  </si>
  <si>
    <t>Banner CA (Penandatanganan Akta, Minuta, dan layar lain); menu profil</t>
  </si>
  <si>
    <t>Klik tombol banner membuka tab Registrasi CA. Setelah banner ditutup, Registrasi CA tetap dapat dibuka dari menu profil.</t>
  </si>
  <si>
    <t>HE-CA-05</t>
  </si>
  <si>
    <t>Tab Registrasi CA: satu pesan per status, bahasa baku, dan hasil cek status terlihat</t>
  </si>
  <si>
    <t>Akun berstatus "Sedang Diproses" masih menampilkan "Registrasi CA belum bisa dibuat — lengkapi Data Diri dulu … Masih kurang: Foto KTP, Nomor HP" (penelusuran live). Catatan Peruri berbahasa Inggris ("Success", "Waiting for Verification"). Layar memakai label "Kadaluarsa", "Specimen", dan tombol "Buat Ulang Link".</t>
  </si>
  <si>
    <t>Tampilkan hanya pesan yang relevan untuk setiap status, dan terjemahkan catatan Peruri. Gunakan ejaan baku: Kedaluwarsa, Spesimen, dan tautan (tombol "Buat tautan baru"). Tulis masa berlaku tautan eKYC ("Tautan berlaku sampai …"). Tampilkan hasil "Cek Status CA" di samping tombol beserta waktunya, misalnya "Status belum berubah: menunggu verifikasi Peruri · dicek 10.32".</t>
  </si>
  <si>
    <t>Akun berstatus menunggu eKYC atau diperiksa tidak menampilkan daftar "masih kurang". Klik Cek Status CA menampilkan hasil dan jam pengecekan, dan layar tidak memuat kata "Kadaluarsa", "Specimen", atau "link".</t>
  </si>
  <si>
    <t>Untuk tim/Peruri (penelusuran 26 Okt 2026, akun uji): email "Digital Certificate Onboarding Invitation" menyebut pendaftaran "di bawah entitas organisasi PELANGGAN". Nama organisasi bawaan tersebut sebaiknya diganti nama kantor PPAT/E-PPAT. Portal Peruri staging tampil berbahasa Inggris secara bawaan walaupun pilihan ID tersedia, sehingga tautan berbahasa Indonesia perlu dipertimbangkan.</t>
  </si>
  <si>
    <t>HE-CA-06</t>
  </si>
  <si>
    <t>Data diri: pesan galat jelas dan muncul di dekat isian</t>
  </si>
  <si>
    <t>Gambar bukti HE menunjukkan pesan "update telepon: nomor HP sudah dipakai akun lain di PPAT ini" tampil di atas halaman dengan awalan teknis. Pesan resolusi foto KTP muncul sebagai toast yang hilang sendiri (skor H9 Registrasi CA: 0).</t>
  </si>
  <si>
    <t>Tampilkan pesan galat di bawah isian terkait (IDDS Text Field error) dan hapus pesan saat isian diperbaiki. Pesan mencakup NIK 16 digit, usia minimal 17 tahun, format nomor HP, dan nomor HP yang sudah dipakai ("Nomor HP ini sudah dipakai akun lain di kantor ini. Gunakan nomor lain atau hubungi kantor PPAT."). Gunakan IDDS File Upload untuk foto KTP. Foto beresolusi rendah ditandai merah di daftar berkas dengan pesan: "Foto terlalu kecil (511 × 511 piksel), sehingga tulisan pada KTP sulit terbaca. Pilih foto dengan sisi terpanjang minimal 600 piksel."</t>
  </si>
  <si>
    <t>H9 Help Users Recognize, Diagnose, and Recover from Errors; H5 Error Prevention</t>
  </si>
  <si>
    <t>35 (bukti UX Metric Lab)</t>
  </si>
  <si>
    <t>Panel Lengkapi data diri; tab Data Diri (KTP); tab Akun</t>
  </si>
  <si>
    <t>Foto berukuran 511 × 511 piksel yang diunggah menampilkan pesan di bawah berkas, bukan toast. Nomor HP yang sudah dipakai menampilkan pesan tanpa awalan teknis di bawah isian.</t>
  </si>
  <si>
    <t>HE-CA-07</t>
  </si>
  <si>
    <t>Tab Data Diri: satu tempat untuk semua data, berkelompok seperti KTP</t>
  </si>
  <si>
    <t>Tab Data Diri berisi 17 isian dalam satu daftar panjang tanpa pengelompokan dan tanpa penanda isian wajib. Nomor HP ada di tab Akun sehingga data untuk registrasi CA tersebar di dua tab. Perubahan dapat hilang saat pengguna pindah tab tanpa peringatan. Beda "Kota Domisili" dan "Domisili Sementara" tidak dijelaskan.</t>
  </si>
  <si>
    <t>Isi semua data untuk akta dan registrasi CA, termasuk nomor HP, di tab Data Diri (KTP); tab Akun hanya menampilkannya. Kelompokkan isian menjadi Identitas sesuai KTP, Alamat sesuai KTP, Kontak dan domisili, serta Foto KTP (IDDS File Upload), masing-masing dengan satu kalimat penjelasan. Tandai isian wajib dengan * dan isian lain dengan "(opsional)". Tampilkan alert di atas formulir berisi "n dari 6 isian wajib terisi" dan tombol "Ke isian berikutnya". Tandai isian kosong dengan status warning IDDS. NIK mengisi tanggal lahir dan jenis kelamin secara otomatis. Kaki formulir menampilkan "Belum disimpan" atau "Semua perubahan tersimpan", dan pindah tab sebelum menyimpan memunculkan konfirmasi. Tombol "Lengkapi data" di Registrasi CA membuka tab ini dan memfokuskan isian kosong pertama. Panel samping dihapus agar data tidak diisi dua kali.</t>
  </si>
  <si>
    <t>H6 Recognition rather than Recall; H5 Error Prevention; H8 Aesthetic and Minimalist Design</t>
  </si>
  <si>
    <t>34–35</t>
  </si>
  <si>
    <t>Akun Saya › tab Data Diri (KTP)</t>
  </si>
  <si>
    <t>Semua isian syarat CA (NIK, tempat lahir, tanggal lahir, alamat, foto KTP, nomor HP) dapat diisi di tab Data Diri tanpa membuka tab lain, dan isian wajib bertanda *. Perpindahan tab dengan perubahan yang belum disimpan memunculkan konfirmasi.</t>
  </si>
  <si>
    <t>HE-CA-08</t>
  </si>
  <si>
    <t>Tab Akun dan Keamanan: seragam, berbahasa Indonesia, dan aman dipakai</t>
  </si>
  <si>
    <t>Bahasa bercampur dengan bahasa Inggris ("device", "di-logout", "login", "Logout Semua", "Sesi ini"). Pola kartu tiap tab berbeda, dan ID akun teknis ditampilkan tanpa keterangan. Syarat kata sandi tidak seragam: layar ganti kata sandi sementara meminta minimal 12 karakter dengan huruf besar, huruf kecil, angka, dan simbol. Sebaliknya, tab Keamanan dan Tambah User hanya meminta minimal 8 karakter, sedangkan Registrasi Onboarding sudah memakai 12 karakter dengan 4 jenis karakter.</t>
  </si>
  <si>
    <t>Gunakan pola kartu yang sama di keempat tab Akun Saya: ikon, judul, satu kalimat keterangan, dan tombol di kaki kartu. Di tab Akun, nama diubah melalui "Ubah Nama" dengan status simpan dan konfirmasi pindah tab. Nomor HP ditautkan ke tab Data Diri, peran dijelaskan dengan tooltip, dan ID akun diberi keterangan kegunaannya. Di tab Keamanan, gunakan IDDS Password Input dengan tombol tampilkan/sembunyikan. Terapkan satu standar syarat kata sandi di seluruh aplikasi: minimal 12 karakter, huruf besar, huruf kecil, angka, dan simbol. Syarat tampil sebagai daftar centang yang terisi saat pengguna mengetik. Tombol "Ganti Password" aktif hanya bila semua syarat terpenuhi dan ulangan kata sandi sesuai. Pesan "password saat ini tidak sesuai" tampil di bawah isian. Ubah bagian sesi menjadi "Perangkat yang sedang masuk" dengan label "Perangkat ini", dan minta konfirmasi sebelum mengeluarkan perangkat.</t>
  </si>
  <si>
    <t>H4 Consistency and Standards; H2 Match between System and the Real World; H5 Error Prevention</t>
  </si>
  <si>
    <t>Akun Saya › tab Akun; tab Keamanan</t>
  </si>
  <si>
    <t>Tab Akun dan Keamanan tidak lagi memuat kata berbahasa Inggris. Syarat kata sandi di tab Keamanan, ganti kata sandi sementara, Tambah User ("Password Awal"), dan Registrasi sama persis (12 karakter dengan 4 jenis karakter) dan juga diperiksa di server.</t>
  </si>
  <si>
    <t>Syarat kata sandi juga berlaku untuk Daftar Pengguna › Tambah User ("Password Awal") dan halaman Registrasi; keduanya belum dibuat prototipenya.</t>
  </si>
  <si>
    <t>HE-UMUM-03</t>
  </si>
  <si>
    <t>Daftar Pengguna: impor pengguna klien dari berkas</t>
  </si>
  <si>
    <t>Pengguna klien hanya dapat ditambahkan satu per satu di Daftar User.</t>
  </si>
  <si>
    <t>Tambahkan tombol "Impor dari Berkas" di Daftar Pengguna yang membuka dialog tiga langkah: unduh templat CSV, unggah berkas (IDDS File Upload, CSV/Excel maks. 500 baris), lalu periksa pratinjau. Tandai baris bermasalah beserta alasannya (nama kosong, format email tidak valid, atau email sudah terdaftar), dan jangan simpan baris tersebut. Pengguna hasil impor berperan Klien dan menerima kata sandi sementara melalui email. Klien hasil impor langsung dapat dipilih sebagai pihak di Permohonan AJB.</t>
  </si>
  <si>
    <t>H8 Flexibility and Efficiency of Use</t>
  </si>
  <si>
    <t>23, 40 (Kesimpulan no. 5)</t>
  </si>
  <si>
    <t>System › Daftar Pengguna</t>
  </si>
  <si>
    <t>Berkas yang berisi baris valid dan baris bermasalah menghasilkan pratinjau per baris. Sistem hanya menyimpan baris valid dan melaporkan jumlahnya.</t>
  </si>
  <si>
    <t>Keputusan tim 23 Okt 2026: impor berkas ditempatkan di Daftar Pengguna, bukan di Permohonan AJB.</t>
  </si>
  <si>
    <t>HE-EAWK-01</t>
  </si>
  <si>
    <t>Penandatanganan Akta (Klien)</t>
  </si>
  <si>
    <t>Daftar akta Klien: cari, saring, dan urutkan</t>
  </si>
  <si>
    <t>Daftar akta hanya dapat digulir; tidak ada pencarian, saringan status, urutan, atau tanggal. Akta yang perlu ditandatangani bercampur dengan akta yang sudah selesai.</t>
  </si>
  <si>
    <t>Tambahkan IDDS Input Search untuk kode order, jenis akta, dan peran. Tambahkan IDDS Button Group untuk saringan status beserta jumlahnya (Semua, Perlu tindakan, Menunggu, Selesai) dan IDDS Select Dropdown untuk urutan (Perlu tindakan dulu, Terbaru, Terlama). Akta yang menunggu tindakan diberi garis tepi kuning dan tampil paling atas. Setiap akta menampilkan tanggal pembaruan terakhir. Pencarian tanpa hasil menampilkan keadaan kosong dengan tombol "Hapus pencarian &amp; saringan".</t>
  </si>
  <si>
    <t>37 (Temuan 3)</t>
  </si>
  <si>
    <t>Penandatanganan Akta › daftar akta</t>
  </si>
  <si>
    <t>Pengguna dapat menemukan akta berdasarkan kode order atau status tanpa menggulir. Secara bawaan, akta berstatus "Giliran Anda" dan "OTP terkirim" tampil paling atas.</t>
  </si>
  <si>
    <t>HE-EAWK-02</t>
  </si>
  <si>
    <t>Penampil PDF Klien: langsung ke halaman tanda tangan pengguna</t>
  </si>
  <si>
    <t>Panel kanan menyebut "Posisi tanda tangan sudah ditentukan Kantor PPAT (halaman 7)", tetapi PDF selalu terbuka di halaman 1. Pengguna harus mengingat nomor halaman lalu menekan "Next" berulang kali.</t>
  </si>
  <si>
    <t>Saat akta dibuka, arahkan penampil PDF langsung ke halaman posisi tanda tangan pengguna. Kotak tanda tangan berkedip dengan label "Tanda tangan Anda di sini". Tambahkan baris "Lompat ke" di atas PDF berisi pintasan ke posisi tanda tangan, halaman pertama, dan halaman terakhir. Bila pengguna sedang berada di halaman lain, kartu Langkah berikutnya menampilkan tombol "Lihat halaman N".</t>
  </si>
  <si>
    <t>H6 Recognition rather than Recall; H7 Flexibility and Efficiency of Use</t>
  </si>
  <si>
    <t>36, 38</t>
  </si>
  <si>
    <t>Penandatanganan Akta › detail akta (penampil PDF)</t>
  </si>
  <si>
    <t>Akta berstatus Giliran Anda langsung terbuka di halaman tanda tangan pengguna tanpa perlu menekan tombol halaman.</t>
  </si>
  <si>
    <t>HE-EAWK-03</t>
  </si>
  <si>
    <t>Panel kanan Klien: langkah berikutnya tampil paling atas dan menonjol</t>
  </si>
  <si>
    <t>Instruksi berupa teks kecil abu-abu di dalam kartu informasi, di bawah data peran dan email. Instruksi mudah terlewat karena perhatian pengguna tertuju ke PDF di sebelah kiri.</t>
  </si>
  <si>
    <t>Awali panel kanan dengan kartu "Langkah berikutnya" bergaris tebal. Kartu berisi tiga langkah bernomor beserta statusnya (periksa akta, kirim OTP, masukkan kode) dan satu tombol utama. Bila pengguna belum dapat menandatangani (menunggu stempel, menunggu giliran, atau posisi belum ditentukan), kartu menjelaskan alasannya dan pihak yang sedang ditunggu dengan IDDS Alert. Di layar sempit, panel ini tampil di atas PDF.</t>
  </si>
  <si>
    <t>H8 Aesthetic and Minimalist Design; H1 Visibility of System Status</t>
  </si>
  <si>
    <t>38</t>
  </si>
  <si>
    <t>Penandatanganan Akta › detail akta (panel kanan)</t>
  </si>
  <si>
    <t>Instruksi dan tombol utama terlihat tanpa menggulir di layar 1440×900 dan di ponsel. Setiap status yang belum memungkinkan tanda tangan menampilkan alasan yang spesifik.</t>
  </si>
  <si>
    <t>HE-EAWK-04</t>
  </si>
  <si>
    <t>Kirim OTP Klien: konfirmasi sebelum tanda tangan dibubuhkan</t>
  </si>
  <si>
    <t>Tombol "Kirim OTP" langsung mengirim kode, dan tombol "Tanda tangani" di dialog OTP langsung membubuhkan tanda tangan tanpa konfirmasi atau ringkasan.</t>
  </si>
  <si>
    <t>Tampilkan IDDS Modal Confirmation sebelum OTP dikirim. Modal berisi ringkasan akta, peran dan urutan, halaman tanda tangan, email OTP yang tersamar, serta kalimat bahwa tanda tangan tidak dapat dibatalkan. Tombol "Kirim OTP" aktif setelah pengguna mencentang "Saya sudah membaca isi akta dan setuju menandatanganinya." Dialog OTP mengulang peringatan bahwa tanda tangan dibubuhkan saat tombol Tanda Tangani ditekan.</t>
  </si>
  <si>
    <t>H5 Error Prevention</t>
  </si>
  <si>
    <t>Penandatanganan Akta › detail akta › Kirim OTP</t>
  </si>
  <si>
    <t>Sistem tidak mengirim OTP sebelum pengguna mencentang pernyataan di dialog konfirmasi.</t>
  </si>
  <si>
    <t>HE-EAWK-05</t>
  </si>
  <si>
    <t>Dialog OTP Klien: masa berlaku kode dan pesan galat terlihat</t>
  </si>
  <si>
    <t>Dialog berisi satu kolom angka, dan masa berlaku kode hanya disebut di email. Kode salah memunculkan toast teknis di pojok kanan atas: "input tidak valid: OTP salah, mohon coba lagi". Tombol sudah aktif sejak 4 digit walaupun kode terdiri atas 6 digit.</t>
  </si>
  <si>
    <t>Gunakan IDDS One-Time Password (6 kotak) dan tampilkan email tujuan yang tersamar, hitung mundur "Kode berlaku 14:59", serta tombol "Kirim ulang kode" yang aktif setelah 60 detik. Tampilkan pesan galat di bawah kotak kode: kode salah beserta sisa percobaan, atau kode kedaluwarsa beserta ajakan mengirim ulang. Panel kanan menyebut jam pengiriman dan batas berlaku kode. Polanya sama dengan HE-EAW-04.</t>
  </si>
  <si>
    <t>36 (bukti UX Metric Lab)</t>
  </si>
  <si>
    <t>Penandatanganan Akta › dialog OTP</t>
  </si>
  <si>
    <t>Dialog OTP menampilkan sisa waktu yang berkurang setiap detik. Kode salah menampilkan pesan galat di bawah kotak kode tanpa awalan teknis.</t>
  </si>
  <si>
    <t>HE-EAWK-06</t>
  </si>
  <si>
    <t>Detail akta Klien: kontak kantor PPAT dapat langsung dihubungi</t>
  </si>
  <si>
    <t>Pesan hanya berbunyi "Kantor PPAT belum menempatkan posisi tanda tangan Anda di dokumen. Hubungi Kantor PPAT." tanpa nomor telepon, email, atau tautan.</t>
  </si>
  <si>
    <t>Sertakan nama kantor, nomor telepon (tautan tel:), dan email (tautan mailto: dengan subjek kode order) pada setiap pesan yang meminta pengguna menghubungi kantor. Tampilkan kartu "Ada pertanyaan tentang akta ini?" di panel kanan setiap akta dan di drawer Bantuan.</t>
  </si>
  <si>
    <t>H10 Help and Documentation; H7 Flexibility and Efficiency of Use</t>
  </si>
  <si>
    <t>37 (Temuan 1)</t>
  </si>
  <si>
    <t>Penandatanganan Akta › detail akta; Bantuan</t>
  </si>
  <si>
    <t>Dari status "posisi belum ditentukan", pengguna dapat menelepon atau mengirim email ke kantor dengan satu klik.</t>
  </si>
  <si>
    <t>Nomor telepon diambil dari profil kantor (sudah ada di kartu kantor). Ketersediaan email kantor di Profil Kantor perlu dipastikan.</t>
  </si>
  <si>
    <t>HE-EAWK-07</t>
  </si>
  <si>
    <t>Daftar akta Klien: panduan singkat untuk pengguna baru</t>
  </si>
  <si>
    <t>Tidak ada tutorial atau panduan awal. Instruksi baru muncul setelah pengguna membuka akta tertentu sehingga pengguna baru tidak mendapat gambaran menyeluruh.</t>
  </si>
  <si>
    <t>Tampilkan kartu "Pertama kali menandatangani akta elektronik?" di atas daftar akta. Kartu berisi tiga langkah singkat dan tombol "Lihat panduan lengkap" yang membuka drawer Bantuan. Kartu dapat ditutup dengan tombol "Mengerti, tutup panduan", dan panduan tetap tersedia melalui tombol Bantuan.</t>
  </si>
  <si>
    <t>37 (Temuan 2)</t>
  </si>
  <si>
    <t>Pengguna baru melihat ringkasan tiga langkah sebelum membuka akta. Setelah ditutup, kartu tidak muncul lagi untuk pengguna tersebut.</t>
  </si>
  <si>
    <t>Status "sudah ditutup" disimpan per pengguna, di server atau di peramban.</t>
  </si>
  <si>
    <t>HE-VERIF-01</t>
  </si>
  <si>
    <t>Verifikasi Berkas (Asisten/PPAT)</t>
  </si>
  <si>
    <t>Verifikasi Berkas: istilah CA dijelaskan dan status berbahasa Indonesia</t>
  </si>
  <si>
    <t>Istilah "CA" muncul berulang kali tanpa penjelasan (skor H2 halaman: 40). Lencana "✓ Verified" berbahasa Inggris dan "CA Kadaluarsa" salah eja, sedangkan status tab hanya berupa simbol ✓, !, dan •. Pihak yang belum terverifikasi hanya diberi keterangan "CA belum aktif" tanpa langkah perbaikan.</t>
  </si>
  <si>
    <t>Pasang IDDS Tooltip untuk CA, NJOP, NIB, dan verifikasi manual. Ganti "Verified" menjadi "Terverifikasi" dan "CA Kadaluarsa" menjadi "CA Kedaluwarsa". Ganti simbol tab dengan lencana bertulisan: Terverifikasi, Perlu dicek, atau Belum diverifikasi. Beri garis kuning pada pihak yang belum terverifikasi dan satu kalimat solusi sesuai status CA-nya (diproses, kedaluwarsa, dicabut, belum ada, atau tanpa akun).</t>
  </si>
  <si>
    <t>H2 Match between System and the Real World; H4 Consistency and Standards; H9 Help Users Recognize, Diagnose, and Recover from Errors</t>
  </si>
  <si>
    <t>UX Metric Lab, Highlight #5 (skor 54,5; PDF hal. 15)</t>
  </si>
  <si>
    <t>Verifikasi › tab Para Pihak; label setiap tab</t>
  </si>
  <si>
    <t>Status di layar Verifikasi tidak lagi memakai teks berbahasa Inggris atau simbol tanpa teks. Setiap pihak yang belum terverifikasi menampilkan langkah perbaikannya.</t>
  </si>
  <si>
    <t>HE-VERIF-02</t>
  </si>
  <si>
    <t>Daftar dan detail verifikasi: lama menunggu dan dampaknya terlihat</t>
  </si>
  <si>
    <t>Layar tidak menampilkan informasi urgensi atau tenggat. Daftar hanya menampilkan tanggal order dibuat, dan halaman detail tidak menjelaskan akibat bila verifikasi belum selesai.</t>
  </si>
  <si>
    <t>Tambahkan kolom "Menunggu" di daftar yang berisi lama waktu sejak order berstatus Siap beserta tanggalnya. Beri lencana kuning "Lewat 3 hari" pada order yang melewati batas, dan urutkan daftar secara bawaan dari yang paling lama menunggu. Tampilkan IDDS Alert di detail yang menyebut sejak kapan order menunggu dan bahwa drafting baru dapat dimulai setelah ketiga verifikasi selesai.</t>
  </si>
  <si>
    <t>H1 Visibility of System Status</t>
  </si>
  <si>
    <t>Verifikasi › daftar; detail</t>
  </si>
  <si>
    <t>Order yang menunggu lebih lama dari batas hari terlihat di daftar tanpa perlu membuka detail.</t>
  </si>
  <si>
    <t>Batas 3 hari adalah angka contoh dan memerlukan ketentuan resmi dari kantor atau tim. Sistem juga memerlukan data tanggal order berpindah ke status Siap.</t>
  </si>
  <si>
    <t>HE-VERIF-03</t>
  </si>
  <si>
    <t>Simpan verifikasi: konfirmasi dan pemeriksaan isian</t>
  </si>
  <si>
    <t>Tombol "Tandai Terverifikasi" dan "Simpan &amp; Verifikasi" langsung mengubah status tanpa konfirmasi (skor H6 halaman: 0). NJOP yang kosong hanya memunculkan toast "Isi NJOP/m² dan luas tanah dulu." Harga jual di bawah NJOP hanya diberi teks kecil "⚠ … periksa" dan tetap dapat disimpan tanpa catatan.</t>
  </si>
  <si>
    <t>Tampilkan IDDS Modal Confirmation berisi ringkasan untuk verifikasi objek tanah, harga tanah, dan verifikasi manual pihak tanpa akun. Modal objek tanah memuat daftar periksa dengan centang wajib: sertifikat asli, tidak ada blokir atau sengketa, serta luas dan lokasi sesuai. Tandai isian NJOP dan luas yang kosong dengan pesan galat di bawah isian. Tampilkan harga jual di bawah NJOP dengan IDDS Alert caution, dan wajibkan catatan alasan. Beri terbilang pada NJOP.</t>
  </si>
  <si>
    <t>H6 Error Prevention; H9 Help Users Recognize, Diagnose, and Recover from Errors</t>
  </si>
  <si>
    <t>Verifikasi › tab Objek Tanah; tab Harga Tanah; tab Para Pihak</t>
  </si>
  <si>
    <t>Status verifikasi tidak pernah berubah tanpa dialog konfirmasi. Harga di bawah NJOP tidak dapat diverifikasi tanpa catatan alasan.</t>
  </si>
  <si>
    <t>HE-VERIF-04</t>
  </si>
  <si>
    <t>Daftar verifikasi: cari, saring, dan urutkan</t>
  </si>
  <si>
    <t>Daftar hanya memiliki kolom pencarian kode atau klien tanpa saringan status atau urutan.</t>
  </si>
  <si>
    <t>Tambahkan IDDS Input Search (kode, klien), IDDS Button Group untuk saringan kemajuan beserta jumlahnya (Semua, Belum dimulai, Sebagian, Lengkap), dan IDDS Select Dropdown untuk urutan (Paling lama menunggu, Terbaru masuk). Hasil kosong menampilkan tombol "Hapus pencarian dan saringan".</t>
  </si>
  <si>
    <t>H7 Flexibility and Efficiency of Use</t>
  </si>
  <si>
    <t>Verifikasi › daftar</t>
  </si>
  <si>
    <t>Daftar verifikasi dapat menampilkan hanya order yang belum dimulai atau yang sebagian, serta dapat diurutkan berdasarkan lama menunggu.</t>
  </si>
  <si>
    <t>Detail verifikasi: navigasi konsisten dan langkah berikutnya jelas</t>
  </si>
  <si>
    <t>Judul "Verifikasi Akta" muncul dua kali di daftar. Letak tombol Kembali berbeda dengan halaman lain (bukti HE). Tab dibuat sendiri dengan simbol, dan setelah verifikasi hanya muncul toast tanpa arahan ke bagian berikutnya atau ke tahap drafting.</t>
  </si>
  <si>
    <t>Hapus judul ganda. Samakan pola tombol Kembali dan identitas order dengan halaman detail lain (Penandatanganan Akta). Gunakan IDDS Tab Horizontal selebar halaman dengan lencana status, dan buka detail di tab pertama yang belum selesai. Setelah satu bagian terverifikasi, pindahkan tab secara otomatis dan tampilkan toast yang menyebut bagian berikutnya. Setelah ketiga verifikasi selesai, tampilkan IDDS Alert success "Ketiga verifikasi selesai" dengan tombol "Buka Permohonan AJB" untuk memindahkan status ke Penyusunan (selaras dengan HE-ORDER-08).</t>
  </si>
  <si>
    <t>Verifikasi › detail</t>
  </si>
  <si>
    <t>Setelah verifikasi ketiga, halaman detail menyatakan bahwa order siap drafting dan menyediakan tombol untuk membuka Permohonan AJB.</t>
  </si>
  <si>
    <t>HE-USER-01</t>
  </si>
  <si>
    <t>Daftar Pengguna (Super Admin)</t>
  </si>
  <si>
    <t>Kolom Status CA: arti setiap status dijelaskan</t>
  </si>
  <si>
    <t>Kolom "Status CA" dan lencananya (Belum registrasi, Proses eKYC, Menunggu verifikasi, CA aktif, Kedaluwarsa, Dicabut) tidak dijelaskan.</t>
  </si>
  <si>
    <t>Pasang IDDS Tooltip pada judul kolom Status CA yang menjelaskan arti dan kegunaan sertifikat elektronik. Pasang juga tooltip pada setiap lencana yang menjelaskan arti status dan langkah berikutnya, misalnya "Proses eKYC: user sedang memverifikasi identitas di portal Peruri. Belum dapat menandatangani."</t>
  </si>
  <si>
    <t>UX Metric Lab, Highlight #9 (skor 79,5; PDF hal. 15)</t>
  </si>
  <si>
    <t>System › Daftar Pengguna › kolom Status CA</t>
  </si>
  <si>
    <t>Setiap lencana Status CA menampilkan penjelasan saat kursor diarahkan atau saat lencana mendapat fokus.</t>
  </si>
  <si>
    <t>HE-USER-02</t>
  </si>
  <si>
    <t>Daftar Pengguna: ubah status beberapa pengguna sekaligus</t>
  </si>
  <si>
    <t>Status pengguna hanya dapat diubah satu per satu melalui menu aksi di setiap baris.</t>
  </si>
  <si>
    <t>Tambahkan IDDS Checkbox di setiap baris dan kotak "pilih semua" di judul tabel. Bilah aksi menampilkan jumlah pengguna terpilih dengan tombol Aktifkan, Tangguhkan, dan Batalkan pilihan. IDDS Modal Confirmation menyebut nama pengguna yang akan diubah dan pengguna yang dilewati karena statusnya sudah sesuai.</t>
  </si>
  <si>
    <t>Admin dapat menangguhkan atau mengaktifkan beberapa pengguna dengan satu konfirmasi. Pengguna yang statusnya sudah sesuai tidak diubah dan disebutkan di dialog.</t>
  </si>
  <si>
    <t>HE-USER-03</t>
  </si>
  <si>
    <t>Tambah User: syarat kata sandi awal sama dengan aturan kata sandi lain</t>
  </si>
  <si>
    <t>Isian "Password Awal" hanya mensyaratkan "Minimal 8 karakter". Padahal, Reset Password membuat kata sandi acak 12 karakter, dan layar ganti kata sandi sementara meminta 12 karakter dengan huruf besar, huruf kecil, angka, dan simbol.</t>
  </si>
  <si>
    <t>Gunakan IDDS Password Input dengan tombol tampilkan/sembunyikan dan daftar centang yang sama dengan Akun Saya (HE-CA-08): minimal 12 karakter, huruf besar, huruf kecil, angka, dan simbol. Tombol "Buat Password Acak" mengisi kata sandi yang memenuhi semua syarat. Email yang sudah terdaftar ditolak dengan pesan di bawah isian.</t>
  </si>
  <si>
    <t>H4 Consistency and Standards; H5 Error Prevention</t>
  </si>
  <si>
    <t>System › Daftar Pengguna › Tambah User</t>
  </si>
  <si>
    <t>Kata sandi awal yang tidak memenuhi 12 karakter dengan 4 jenis karakter ditolak di formulir dan di server.</t>
  </si>
  <si>
    <t>Registrasi (Onboarding) live sudah memakai 12 karakter dengan 4 jenis karakter; HE-REG-04 menyeragamkan tampilannya menjadi daftar centang.</t>
  </si>
  <si>
    <t>Daftar Pengguna: menu aksi dan pesan hasil yang jelas</t>
  </si>
  <si>
    <t>Tombol aksi di setiap baris hanya berupa ikon daftar tanpa label. Pesan "User berhasil dibuat." muncul sebagai kotak di atas tabel dan hilang sendiri setelah 3 detik.</t>
  </si>
  <si>
    <t>Gunakan IDDS Action Dropdown dengan label "Aksi untuk [nama]" untuk pembaca layar dan tooltip "Aksi". Tampilkan pesan hasil dengan IDDS Toast yang dapat ditutup dan disertai keterangan, misalnya bahwa pengguna dapat masuk dengan email dan kata sandi awal. Sorot sesaat baris yang berubah.</t>
  </si>
  <si>
    <t>H1 Visibility of System Status; H4 Consistency and Standards</t>
  </si>
  <si>
    <t>Tombol aksi terbaca oleh pembaca layar. Setelah pengguna dibuat atau diubah, baris terkait tampil disorot.</t>
  </si>
  <si>
    <t>HE-REG-01</t>
  </si>
  <si>
    <t>Onboarding</t>
  </si>
  <si>
    <t>Registrasi (Onboarding)</t>
  </si>
  <si>
    <t>Formulir Registrasi: tombol Batal dan konfirmasi sebelum keluar</t>
  </si>
  <si>
    <t>Tidak ada tombol batal atau kembali selama pendaftaran. Pengguna hanya dapat memakai tombol kembali di peramban, dan data yang sudah diisi hilang tanpa peringatan.</t>
  </si>
  <si>
    <t>Tambahkan tombol "Batal" di samping tombol "Daftar Sekarang". Bila formulir sudah terisi lalu pengguna menekan Batal, Masuk, atau menu navigasi, tampilkan IDDS Modal Confirmation "Tinggalkan pendaftaran?" dengan pilihan "Lanjutkan Mengisi" dan "Tinggalkan".</t>
  </si>
  <si>
    <t>H3 User Control and Freedom; H5 Error Prevention</t>
  </si>
  <si>
    <t>UX Metric Lab, Highlight #11 (skor 91,7; PDF hal. 15)</t>
  </si>
  <si>
    <t>dev.eppat.id/register</t>
  </si>
  <si>
    <t>Formulir yang sudah terisi selalu meminta konfirmasi sebelum ditinggalkan.</t>
  </si>
  <si>
    <t>HE-REG-02</t>
  </si>
  <si>
    <t>Formulir Registrasi: penjelasan isian ID PPAT dan URL Tenant</t>
  </si>
  <si>
    <t>Isian ID PPAT dan URL Tenant tidak dijelaskan sehingga pengguna baru tidak tahu nilai yang harus diisi.</t>
  </si>
  <si>
    <t>Pasang IDDS Tooltip dan teks bantuan pada ID PPAT dan URL Tenant. ID PPAT adalah nomor identitas PPAT yang dipakai asosiasi untuk verifikasi. URL Tenant adalah alamat aplikasi kantor yang hanya memuat huruf kecil, angka, dan tanda hubung. Isian URL Tenant menampilkan hasil cek ketersediaan beserta alamat lengkapnya.</t>
  </si>
  <si>
    <t>Isian ID PPAT dan URL Tenant menampilkan penjelasan tanpa pengguna meninggalkan formulir.</t>
  </si>
  <si>
    <t>Sumber resmi nomor ID PPAT perlu dikonfirmasi tim agar teks bantuannya tepat.</t>
  </si>
  <si>
    <t>HE-REG-03</t>
  </si>
  <si>
    <t>Halaman Registrasi: gambaran alur pendaftaran sampai aplikasi aktif</t>
  </si>
  <si>
    <t>Tidak ada panduan atau onboarding untuk pengguna yang baru pertama kali mendaftar. Tahapan baru terlihat di Dashboard setelah pengguna masuk.</t>
  </si>
  <si>
    <t>Tampilkan ringkasan lima tahap di atas formulir: Isi data pendaftaran, Verifikasi email, Masuk dan amankan akun, Pilih paket dan bayar, serta Aplikasi kantor aktif. Tandai tahap yang sedang dikerjakan. Setelah pengguna mendaftar, halaman petunjuk verifikasi email menampilkan email tujuan yang disamarkan dan saran memeriksa folder spam.</t>
  </si>
  <si>
    <t>H10 Help and Documentation; H1 Visibility of System Status</t>
  </si>
  <si>
    <t>dev.eppat.id/register; /verify-email</t>
  </si>
  <si>
    <t>Halaman Registrasi menampilkan seluruh tahapan sebelum calon pengguna mengisi formulir.</t>
  </si>
  <si>
    <t>HE-REG-04</t>
  </si>
  <si>
    <t>Formulir Registrasi: syarat kata sandi tampil sebagai daftar centang</t>
  </si>
  <si>
    <t>Syarat kata sandi ditulis dalam satu baris kecil "Min. 12 karakter · Huruf besar, kecil, angka &amp; simbol" dengan bilah kekuatan, tanpa penjelasan syarat yang belum terpenuhi.</t>
  </si>
  <si>
    <t>Tampilkan daftar centang yang sama dengan Akun Saya (HE-CA-08) dan Tambah User (HE-USER-03): minimal 12 karakter, huruf besar, huruf kecil, angka, dan simbol. Daftar terisi saat pengguna mengetik. Isian ulangi kata sandi langsung memberi tahu apakah isinya sudah sama.</t>
  </si>
  <si>
    <t>Tampilan dan aturan syarat kata sandi sama di Registrasi, Akun Saya, Tambah User, dan ganti kata sandi sementara.</t>
  </si>
  <si>
    <t>HE-LOGIN-01</t>
  </si>
  <si>
    <t>Masuk (Onboarding)</t>
  </si>
  <si>
    <t>Verifikasi dua langkah: masa berlaku kode terlihat di layar</t>
  </si>
  <si>
    <t>Batas waktu kode (5 menit) hanya disebut di email "Kode OTP Login e-PPAT", sedangkan layar hanya berisi satu kolom kode.</t>
  </si>
  <si>
    <t>Gunakan IDDS One-Time Password (6 kotak) dan tampilkan email tujuan yang disamarkan, hitung mundur "Kode berlaku 4:59", serta tombol "Kirim ulang kode" yang aktif setelah 60 detik. Polanya sama dengan HE-EAW-04 dan HE-EAWK-05.</t>
  </si>
  <si>
    <t>UX Metric Lab, Highlight #7 (skor 68,6; PDF hal. 15)</t>
  </si>
  <si>
    <t>dev.eppat.id/login › Verifikasi Dua Langkah › Email OTP</t>
  </si>
  <si>
    <t>Layar verifikasi menampilkan sisa masa berlaku kode yang berkurang setiap detik, dan kode yang kedaluwarsa tidak dapat dikirim.</t>
  </si>
  <si>
    <t>HE-LOGIN-02</t>
  </si>
  <si>
    <t>Halaman masuk: pesan galat menjelaskan penyebab dan cara memperbaikinya</t>
  </si>
  <si>
    <t>Kegagalan masuk memunculkan dialog besar "Login Gagal — Username/email atau kata sandi salah" yang harus ditutup dengan OK. Kode OTP yang salah hanya memunculkan pesan berbahasa Inggris "Invalid input" tanpa solusi.</t>
  </si>
  <si>
    <t>Tampilkan kegagalan masuk sebagai IDDS Alert di dalam kartu, pertahankan isian email, dan arahkan pengguna ke tautan "Lupa kata sandi?". Jelaskan kode yang salah atau kedaluwarsa di bawah kotak kode beserta sisa percobaan dan cara mendapatkan kode baru.</t>
  </si>
  <si>
    <t>H9 Help Users Recognize, Diagnose, and Recover from Errors</t>
  </si>
  <si>
    <t>dev.eppat.id/login</t>
  </si>
  <si>
    <t>Halaman masuk tidak lagi menampilkan teks "Invalid input", dan setiap pesan galat menyebut cara memperbaikinya.</t>
  </si>
  <si>
    <t>Jumlah percobaan maksimal (contoh: 3) perlu disesuaikan dengan aturan server.</t>
  </si>
  <si>
    <t>HE-LOGIN-03</t>
  </si>
  <si>
    <t>Verifikasi dua langkah: navigasi tetap tersedia</t>
  </si>
  <si>
    <t>Menu navigasi menghilang saat pengguna berada di tahap verifikasi dua langkah sehingga pengguna yang tidak menerima kode tidak memiliki jalan keluar selain menutup halaman.</t>
  </si>
  <si>
    <t>Tampilkan bilah navigasi atas beserta tombol Keluar di semua tahap verifikasi dua langkah. Setiap tahap memiliki tautan kembali ("Kembali ke halaman masuk", "Ganti metode") dan tautan "Butuh bantuan?".</t>
  </si>
  <si>
    <t>H3 User Control and Freedom; H4 Consistency and Standards</t>
  </si>
  <si>
    <t>dev.eppat.id/login › Verifikasi Dua Langkah</t>
  </si>
  <si>
    <t>Setiap tahap verifikasi dua langkah menyediakan jalan kembali ke halaman masuk dan tautan bantuan.</t>
  </si>
  <si>
    <t>HE-LOGIN-04</t>
  </si>
  <si>
    <t>Verifikasi dua langkah: penjelasan metode dan kode cadangan</t>
  </si>
  <si>
    <t>Pengguna baru tidak mendapat penjelasan tentang verifikasi dua langkah. Tombol "Saya sudah simpan, ke Dashboard" dapat ditekan tanpa benar-benar menyimpan kode cadangan.</t>
  </si>
  <si>
    <t>Halaman pilih metode menjelaskan dalam satu kalimat arti verifikasi dua langkah dan kapan pengguna memilih aplikasi authenticator atau email. Halaman kode cadangan menjelaskan kegunaan kode dan cara menyimpannya. Tombol "Lanjut ke Dashboard" baru aktif setelah pengguna mencentang "Saya sudah menyimpan kode cadangan di tempat aman."</t>
  </si>
  <si>
    <t>H10 Help and Documentation; H5 Error Prevention</t>
  </si>
  <si>
    <t>dev.eppat.id/login › Verifikasi Dua Langkah; Kode Cadangan MFA</t>
  </si>
  <si>
    <t>Pengguna tidak dapat melewati halaman kode cadangan sebelum menyatakan sudah menyimpannya.</t>
  </si>
  <si>
    <t>HE-OB-01</t>
  </si>
  <si>
    <t>Dashboard (Onboarding)</t>
  </si>
  <si>
    <t>Dashboard Onboarding: hasil cek status jelas dan dapat ditutup</t>
  </si>
  <si>
    <t>Setiap kali status dicek, muncul dialog besar "Status Diperbarui — Status registrasi terbaru sudah dimuat." tanpa tombol tutup, walaupun tidak ada perubahan (skor User Control: 20). Tombol memakai bahasa campuran: "Check Status Terbaru".</t>
  </si>
  <si>
    <t>Ganti label tombol menjadi "Cek Status Terbaru" dan tampilkan hasilnya dengan IDDS Toast yang dapat ditutup. Toast berisi jam pengecekan dan tahap saat ini, misalnya "Belum ada perubahan · dicek 10.32 · Tahap saat ini: Proses Pembayaran". Bila ada perubahan, sorot tahap yang berubah di stepper.</t>
  </si>
  <si>
    <t>H3 User Control and Freedom; H1 Visibility of System Status</t>
  </si>
  <si>
    <t>UX Metric Lab, Highlight #8 (skor 71,5; PDF hal. 15)</t>
  </si>
  <si>
    <t>dev.eppat.id/dashboard</t>
  </si>
  <si>
    <t>Pengecekan status tidak lagi membuka dialog yang menghalangi, dan toast langsung menyatakan ada atau tidaknya perubahan.</t>
  </si>
  <si>
    <t>HE-OB-02</t>
  </si>
  <si>
    <t>Ringkasan Pesanan: paket dapat diganti sebelum pembayaran</t>
  </si>
  <si>
    <t>Setelah pengguna menekan "Lanjut Pembayaran", paket terkunci dan Ringkasan Pesanan tidak menyediakan cara mengganti paket (terkonfirmasi di live pada 26 Okt 2026).</t>
  </si>
  <si>
    <t>Tambahkan tombol "Ganti Paket" di Ringkasan Pesanan selama pembayaran belum diterima. Bila Virtual Account sudah dibuat, tampilkan IDDS Modal Confirmation yang menjelaskan bahwa tagihan lama dibatalkan dan meminta pengguna tidak mentransfer ke nomor lama.</t>
  </si>
  <si>
    <t>H3 User Control and Freedom</t>
  </si>
  <si>
    <t>dev.eppat.id/dashboard › Ringkasan Pesanan</t>
  </si>
  <si>
    <t>Pengguna dapat berganti paket sebelum membayar tanpa bantuan admin, dan Virtual Account lama tidak dapat dibayar lagi.</t>
  </si>
  <si>
    <t>Server perlu mendukung pembatalan Virtual Account lama.</t>
  </si>
  <si>
    <t>HE-OB-03</t>
  </si>
  <si>
    <t>Dashboard Onboarding: langkah berikutnya, perkiraan waktu, dan bantuan</t>
  </si>
  <si>
    <t>Dashboard dan halaman pembayaran tidak memiliki panduan, tooltip, atau kontak dukungan (skor Help &amp; Documentation: 0). Pengguna tidak tahu berapa lama Proses Administrasi berjalan.</t>
  </si>
  <si>
    <t>Tampilkan IDDS Alert "Langkah berikutnya" di bawah stepper yang menyebut tindakan yang diperlukan dan perkiraan waktunya. Tambahkan kartu "Butuh bantuan?" yang menampilkan Hotline Digital Product 1500159 dan TAMARA serta membuka drawer Bantuan. Jelaskan hasil cek pembayaran yang belum masuk beserta jam pengecekan dan saran untuk menunggu beberapa menit.</t>
  </si>
  <si>
    <t>Pada setiap tahap, Dashboard menampilkan langkah berikutnya dan kontak bantuan.</t>
  </si>
  <si>
    <t>Perkiraan waktu (± 1 hari kerja) adalah angka contoh dan perlu dikonfirmasi tim.</t>
  </si>
  <si>
    <t>HE-OB-04</t>
  </si>
  <si>
    <t>Email aktivasi instansi: tanpa kata sandi dalam teks biasa</t>
  </si>
  <si>
    <t>Email "instansi e-PPAT telah berhasil dibuat" menampilkan "EMAIL LOGIN", "PASSWORD" dalam teks biasa, dan "LINK LOGIN" (bukti HE; skor Privacy Dashboard: 0).</t>
  </si>
  <si>
    <t>Isi email dengan alamat aplikasi kantor, email masuk, dan tombol "Buat Kata Sandi" berupa tautan sekali pakai yang memiliki masa berlaku. Tambahkan kalimat bahwa E-PPAT tidak pernah mengirim kata sandi melalui email. Pengguna membuat kata sandi sendiri dengan syarat 12 karakter dan 4 jenis karakter.</t>
  </si>
  <si>
    <t>H11 Privacy; H5 Error Prevention</t>
  </si>
  <si>
    <t>Email aktivasi instansi (setelah Proses Administrasi)</t>
  </si>
  <si>
    <t>Tidak ada email dari sistem yang memuat kata sandi.</t>
  </si>
  <si>
    <t>HE-OB-05</t>
  </si>
  <si>
    <t>Stepper Dashboard Onboarding: nomor urut dan istilah konsisten</t>
  </si>
  <si>
    <t>Penomoran stepper melompat dari 3 ke 5 karena satu tahap tidak ditampilkan (live 26 Okt 2026). Riwayat Transaksi menampilkan nilai teknis "VIRTUAL_ACCOUNT" dan teks kapital "BELUM DIBAYAR".</t>
  </si>
  <si>
    <t>Tampilkan kesembilan tahap secara berurutan dari 1 sampai 9, termasuk Verifikasi Anggota, beserta tanggal selesai atau keterangan "Sedang berjalan". Ubah metode di Riwayat Transaksi menjadi "Virtual Account BRI" dan tampilkan status dengan lencana "Belum dibayar" atau "Lunas".</t>
  </si>
  <si>
    <t>H4 Consistency and Standards; H2 Match between System and the Real World</t>
  </si>
  <si>
    <t>dev.eppat.id/dashboard; /riwayat-transaksi</t>
  </si>
  <si>
    <t>Nomor tahap selalu urut, dan layar tidak menampilkan nilai teknis kepada pengguna.</t>
  </si>
  <si>
    <t>Nama tahap ke-4 ("Verifikasi Anggota") disimpulkan dari PDF hal. 10 dan dashboard operator sehingga perlu dikonfirmasi tim.</t>
  </si>
  <si>
    <t>Daftar Penandatanganan Akta: cari dan saring akta</t>
  </si>
  <si>
    <t>Daftar E-Akta Wizard tidak memiliki pencarian atau saringan, sehingga pengguna harus menggulir untuk menemukan akta pada langkah tertentu. Laporan HE hal. 40 no. 5 merekomendasikan pencarian dan filter pada daftar transaksi dan akta.</t>
  </si>
  <si>
    <t>Tambahkan IDDS Input Search (kode, narahubung, atau nomor akta) di atas daftar. Tambahkan saringan IDDS Button Group per langkah beserta jumlahnya: Semua, Belum mulai, Stempel TERA, Tanda tangan, e-Meterai, dan Selesai. Hasil kosong menampilkan tombol "Hapus pencarian dan saringan". Polanya sama dengan daftar Penyusunan Akta dan Verifikasi Berkas.</t>
  </si>
  <si>
    <t>40 (Kesimpulan no. 5)</t>
  </si>
  <si>
    <t>Akta › Penandatanganan Akta › daftar</t>
  </si>
  <si>
    <t>Daftar Penandatanganan Akta dapat dicari berdasarkan kode, narahubung, atau nomor akta dan dapat disaring per langkah tanpa menggulir.</t>
  </si>
  <si>
    <t>HE-EAW-08</t>
  </si>
  <si>
    <t>Langkah Stempel TERA: penjelasan bila TERA kantor belum aktif</t>
  </si>
  <si>
    <t>Wizard tidak membaca status pendaftaran TERA kantor. Tombol "Stempel TERA" tetap aktif walaupun TERA belum didaftarkan, masih diproses, atau ditolak. Kegagalan baru terlihat setelah tombol diklik, berupa toast umum "Gagal memulai stempel TERA." yang hilang sendiri. Peringatan TERA hanya berupa banner untuk admin kantor, sehingga PPAT dan Asisten yang bukan admin tidak melihatnya. Tombol "Daftar TERA" pada banner membuka tab Akun, bukan tab Registrasi TERA. Daftar wizard hanya menampilkan "Menunggu TERA".</t>
  </si>
  <si>
    <t>Periksa status pendaftaran TERA kantor di wizard. Bila TERA belum didaftarkan, masih diproses Peruri, atau ditolak, nonaktifkan tombol Bubuhkan Stempel TERA. Tampilkan IDDS Alert di bawah tombol yang menjelaskan penyebab dan langkah selanjutnya: "Daftar TERA", "Lihat status pendaftaran", atau "Perbaiki Pendaftaran" (membuka prototipe Registrasi TERA). Minta pengguna yang bukan admin menghubungi admin kantor. Langkah 2 dan 3 tetap terkunci dengan alasan yang menyebut TERA kantor, dan daftar akta menampilkan status "Menunggu TERA kantor". Bantuan memuat tanya jawab tentang TERA kantor. Perilaku ini dapat dicoba melalui simulasi "TERA kantor" di bilah atas.</t>
  </si>
  <si>
    <t>Temuan penelusuran live (prototipe HE)</t>
  </si>
  <si>
    <t>Akta › Penandatanganan Akta › langkah Stempel TERA</t>
  </si>
  <si>
    <t>Bila TERA kantor belum aktif, tombol Stempel TERA nonaktif dengan alasan yang terlihat dan tautan ke pendaftaran TERA.</t>
  </si>
  <si>
    <t>Status TERA dibaca dari GET /admin/eppat/tera-registration (null/pending/submitted/active/rejected).</t>
  </si>
  <si>
    <t>HE-EAW-09</t>
  </si>
  <si>
    <t>Langkah e-Meterai: aktivasi diperiksa dan pemakaian kuota dikonfirmasi</t>
  </si>
  <si>
    <t>Wizard tidak membaca email aktivasi e-Meterai dan tidak menampilkan sisa kuota. Tombol "1. Generate SN (kuota)" selalu aktif dan langsung memakai 1 kuota (Rp10.000) tanpa konfirmasi; tombol "Generate Ulang SN" juga tanpa konfirmasi. Email yang belum diisi atau kuota yang habis baru diketahui dari toast pesan server atau "Gagal generate SN meterai." yang hilang sendiri. Label memakai bahasa Inggris dan ejaan "E-Materai".</t>
  </si>
  <si>
    <t>Bila email akun e-Meterai kantor belum disimpan, nonaktifkan tombol Buat Nomor Seri dan tampilkan IDDS Alert yang mengarahkan ke menu Aktivasi e-Meterai. Bila sudah aktif, tampilkan akun e-Meterai yang dipakai di panel. Sebelum nomor seri dibuat atau dibuat ulang, tampilkan IDDS Modal Confirmation "Pakai 1 kuota e-Meterai?" yang menyebut biaya Rp10.000 dan akun Peruri yang dipakai. Bila kuota habis, tampilkan IDDS Alert critical yang menetap di bawah tombol dengan tautan pembelian kuota di e-Meterai.co.id. Gunakan label berbahasa Indonesia: "Buat Nomor Seri", "Bubuhkan e-Meterai", dan "Nomor seri e-Meterai". Perilaku ini dapat dicoba melalui simulasi "e-Meterai" di bilah atas.</t>
  </si>
  <si>
    <t>Akta › Penandatanganan Akta › langkah e-Meterai</t>
  </si>
  <si>
    <t>Nomor seri e-Meterai tidak dapat dibuat sebelum aktivasi, setiap pemakaian kuota meminta konfirmasi, dan kuota habis dijelaskan di layar.</t>
  </si>
  <si>
    <t>Email aktivasi dibaca dari GET /admin/eppat/emeterai-activation. Sisa kuota belum tersedia di API.</t>
  </si>
  <si>
    <t>HE-EAW-10</t>
  </si>
  <si>
    <t>Tab Salinan: daftar salinan elektronik dan bedanya dengan menu Salinan Akta</t>
  </si>
  <si>
    <t>Tab "Salinan" membuka daftar salinan terlebih dahulu; pengguna harus mengklik "Kelola" pada salah satu salinan untuk mulai membubuhkan stempel TERA. Tab ini berisi kartu unggah "Label (opsional)" dan tombol "Unggah Salinan (PDF)" dengan galat "File harus PDF." dan "Ukuran file ({x.x} MB) melebihi batas. Maksimal 20 MB." Kartu salinan memakai lencana "Selesai", "Proses", "Draft" dan "TERA ✓ / E-Sign / E-Materai". Pesan Order menyuruh membuka menu Akta Salinan, sedangkan Minuta menyebut "Akta masuk ke menu Salinan"; tidak ada penjelasan beda antara tab Salinan (lampiran) dan menu Akta Salinan (tautan 7 hari), padahal keduanya memakai istilah "Kirim Salinan".</t>
  </si>
  <si>
    <t>Buat tab Salinan berfungsi di layar detail. Saat tab dibuka, layar langsung masuk ke langkah Stempel TERA (atau langkah yang sedang berjalan) pada salinan aktif, yaitu salinan pertama yang belum selesai. Daftar salinan dibuka lewat tombol "Daftar Salinan" untuk mengganti salinan atau mengunggah salinan lain. Bila order belum punya salinan, tab menampilkan daftar kosong beserta kartu unggah, dan setelah unggah berhasil layar langsung masuk ke langkah Stempel TERA. Di atas daftar, tampilkan IDDS Alert info yang menjelaskan bahwa tab ini untuk salinan elektronik yang dibubuhi stempel TERA, tanda tangan elektronik, dan e-Meterai, lalu dikirim sebagai lampiran PDF. Pindaian salinan bertanda tangan basah yang dikirim sebagai tautan dikelola di menu Salinan Akta (ada tautannya). Kartu unggah tetap berisi Label (opsional) dan tombol "Unggah Salinan (PDF)". Galat format dan ukuran tampil di bawah isian, bukan toast, dan unggahan menampilkan status memuat. Setiap salinan memakai lencana status berbahasa Indonesia (Selesai, Diproses, Draf) serta lencana langkah Stempel TERA, Tanda Tangan Elektronik, dan e-Meterai. Bila PPAT penanda tangan belum ditetapkan, tampilkan IDDS Alert caution dengan tautan ke Profil Kantor. Tombol Bantuan di tab ini membuka tanya jawab khusus salinan.</t>
  </si>
  <si>
    <t>H2 Match Between System and the Real World; H10 Help and Documentation</t>
  </si>
  <si>
    <t>Temuan penelusuran kode live (prototipe HE)</t>
  </si>
  <si>
    <t>Akta › Penandatanganan Akta › detail › tab Salinan</t>
  </si>
  <si>
    <t>Tab Salinan menjelaskan bedanya dengan menu Salinan Akta, menampilkan galat unggah di bawah isian, dan memakai lencana status berbahasa Indonesia.</t>
  </si>
  <si>
    <t>Fitur sama dengan live; hanya tampilan, bahasa, dan penjelasan yang disesuaikan.</t>
  </si>
  <si>
    <t>HE-EAW-11</t>
  </si>
  <si>
    <t>Kelola salinan: stepper bernomor, urutan wajib, dan konfirmasi kuota</t>
  </si>
  <si>
    <t>Layar Kelola baru terbuka setelah pengguna mengklik "Kelola" di daftar salinan. Stepper berupa tiga lingkaran "Digital Stamp → E-Signature → E-Materai" tanpa nomor dan status. Tombol "1. Generate SN (kuota)" dan "Generate Ulang SN" langsung memakai kuota (Rp 10.000) tanpa konfirmasi, tanpa tampilan sisa kuota. Tombol unduh bercampur: "Unduh PDF Ber-stempel", "Unduh Salinan Tersign", "Unduh PDF Ber-meterai". Dialog OTP hanya satu kolom angka "000000" tanpa masa berlaku.</t>
  </si>
  <si>
    <t>Tab Salinan langsung membuka layar Kelola pada langkah Stempel TERA salinan aktif. Kepala layar menyebut salinan yang sedang dikerjakan (mis. "Sedang dikerjakan (2 dari 2): Salinan Pembeli") beserta statusnya, dan tombol "Daftar Salinan" dipakai untuk mengganti salinan. Kelola salinan memakai IDDS Stepper, penampil PDF, kartu "Langkah berikutnya", dialog OTP dengan masa berlaku, dan alert TERA kantor atau e-Meterai yang sama dengan tab Minuta. Langkah 2 dan 3 tampil terkunci dengan alasan dan tombol ke langkah sebelumnya. Sebelum nomor seri dibuat, IDDS Modal Confirmation "Pakai 1 kuota e-Meterai?" menyebut biaya Rp10.000 dan akun Peruri. Label dibakukan: "Stempel TERA", "Tanda Tangan Elektronik", "e-Meterai", "Buat Nomor Seri (pakai 1 kuota)", serta tombol unduh "Unduh Salinan Berstempel", "Unduh Salinan Bertanda Tangan", dan "Unduh Salinan Bermeterai".</t>
  </si>
  <si>
    <t>H5 Error Prevention; H1 Visibility of System Status; H4 Consistency and Standards</t>
  </si>
  <si>
    <t>Akta › Penandatanganan Akta › tab Salinan › Kelola</t>
  </si>
  <si>
    <t>Kelola salinan memakai stepper bernomor yang sama dengan tab Minuta, mengunci langkah 2 dan 3 beserta alasannya, dan meminta konfirmasi sebelum memakai kuota e-Meterai.</t>
  </si>
  <si>
    <t>HE-EAW-12</t>
  </si>
  <si>
    <t>Salinan: hapus berkonfirmasi dan kirim lampiran berlabel jelas</t>
  </si>
  <si>
    <t>Hapus memakai window.confirm bawaan browser: 'Hapus salinan "{label}"? File tanda tangan (bila ada) ikut terhapus.' Dialog kirim hanya menyebut "Dokumen {label} yang telah ditandatangani akan dikirim sebagai lampiran PDF (bukan tautan)." tanpa nama berkas atau tahap yang sudah selesai. Peran penerima tampil sebagai kode mentah, dan galat "Pilih minimal 1 penerima dengan email valid." tampil sebagai toast.</t>
  </si>
  <si>
    <t>Hapus salinan memakai IDDS Modal Confirmation bertombol merah yang menyebut nama salinan dan dampaknya, lalu fokus kembali ke daftar. Dialog "Kirim Salinan via Email" menampilkan nama berkas lampiran dan tahap yang sudah selesai, memberi peringatan bila salinan belum lengkap, menampilkan peran penerima dalam bahasa Indonesia (bukan kode MANUAL), dan menampilkan galat email di bawah isian.</t>
  </si>
  <si>
    <t>Akta › Penandatanganan Akta › tab Salinan › Hapus dan Kirim via Email</t>
  </si>
  <si>
    <t>Menghapus salinan memakai dialog konfirmasi bertombol merah dengan fokus kembali, dan dialog Kirim via Email menampilkan nama berkas, langkah yang sudah dibubuhkan, serta pesan galat di bawah isian.</t>
  </si>
  <si>
    <t>Penyesuaian IDDS · Tenant (aplikasi kantor PPAT)</t>
  </si>
  <si>
    <t>Menu dev-app.eppat.id/t/&lt;kantor&gt; yang tidak dinilai HE. Komponen disesuaikan dengan IDDS, letak pesan dan bahasa dibakukan, dan isi live tidak diubah.</t>
  </si>
  <si>
    <t>Menu / Layar</t>
  </si>
  <si>
    <t>Judul penyesuaian</t>
  </si>
  <si>
    <t>Penyesuaian</t>
  </si>
  <si>
    <t>IDDS-TN-01</t>
  </si>
  <si>
    <t>Tenant · Masuk &amp; Daftar (penyesuaian IDDS)</t>
  </si>
  <si>
    <t>Halaman Masuk dan Daftar: komponen IDDS dengan brand E-PPAT</t>
  </si>
  <si>
    <t>Isian, kotak centang, penanda langkah "1/2 Form", dan kolom kode dibuat sendiri. Isian kata sandi di halaman Masuk tidak punya tombol tampilkan.</t>
  </si>
  <si>
    <t>Isian memakai IDDS Text Field dan Password Input dengan tombol tampilkan/sembunyikan. Pilihan peran memakai Select Dropdown, dan persetujuan memakai Checkbox. Langkah pendaftaran memakai Stepper (Isi data, Verifikasi OTP, Akun aktif), dan kolom kode memakai One-Time Password. Tombol, alert, dan dialog konfirmasi juga memakai komponen IDDS.</t>
  </si>
  <si>
    <t>dev-app.eppat.id/t/&lt;kantor&gt; › Masuk; /register</t>
  </si>
  <si>
    <t>Halaman Masuk, Verifikasi 2 Faktor, Ganti Kata Sandi, dan Daftar hanya memakai komponen IDDS untuk isian, pilihan, langkah, kode OTP, tombol, alert, dan dialog.</t>
  </si>
  <si>
    <t>Halaman Masuk dan Daftar: pesan galat di dalam kartu dan di bawah isian</t>
  </si>
  <si>
    <t>Pesan galat masuk muncul sebagai dialog "Gagal masuk" yang menutupi formulir dan harus ditutup dengan "Mengerti". Pesan galat Daftar hanya berupa satu kalimat di atas formulir dan muncul satu per satu (misalnya "Nama lengkap wajib diisi.").</t>
  </si>
  <si>
    <t>Pesan galat masuk tampil sebagai IDDS Alert di dalam kartu. Isian kosong ditandai di bawah isiannya ("Email wajib diisi."). Pesan galat formulir Daftar muncul sekaligus di bawah setiap isian yang salah, bukan satu per satu di atas formulir.</t>
  </si>
  <si>
    <t>Tidak ada dialog untuk pesan galat isian. Setiap pesan galat tampil di dalam kartu atau tepat di bawah isian yang salah.</t>
  </si>
  <si>
    <t>IDDS-TN-03</t>
  </si>
  <si>
    <t>Halaman Masuk: logo kantor terlihat di kartu</t>
  </si>
  <si>
    <t>Ruang logo di kiri atas kartu tampak kosong karena logo berwarna terang berada di atas kartu putih.</t>
  </si>
  <si>
    <t>Logo E-PPAT (atau logo kantor dari Pengaturan Tampilan) memakai versi berwarna sehingga terlihat di atas kartu putih.</t>
  </si>
  <si>
    <t>Logo terlihat jelas di kartu Masuk pada tema bawaan.</t>
  </si>
  <si>
    <t>Periksa isian logo_url dan logo_mark_url di Pengaturan Tampilan (Tema Tampilan).</t>
  </si>
  <si>
    <t>IDDS-TN-04</t>
  </si>
  <si>
    <t>Halaman Masuk: teks pengantar sesuai pengaturan pendaftaran</t>
  </si>
  <si>
    <t>Pengantar berbunyi "Gunakan akun yang telah diaktivasi oleh administrator. Hubungi admin kalau belum punya akses.", tetapi di bawahnya tetap ada tautan "Daftar untuk membuat akun baru."</t>
  </si>
  <si>
    <t>Bila pendaftaran mandiri dibuka, pengantar berbunyi "Masuk dengan akun yang dibuat admin kantor, atau daftar sendiri bila belum punya akun." Bila pendaftaran ditutup, pengantar meminta pengguna menghubungi admin kantor, dan tautan Daftar tidak ditampilkan.</t>
  </si>
  <si>
    <t>Teks pengantar halaman Masuk sesuai dengan pengaturan pendaftaran dan tidak bertentangan dengan tautan yang tampil.</t>
  </si>
  <si>
    <t>IDDS-TN-05</t>
  </si>
  <si>
    <t>Daftar: syarat kata sandi sama dengan layar kata sandi lain</t>
  </si>
  <si>
    <t>Kata sandi pendaftaran cukup "Minimal 8 karakter", sedangkan layar Ganti Kata Sandi pada proses masuk yang sama meminta 12 karakter dan 4 jenis karakter.</t>
  </si>
  <si>
    <t>Kata sandi pendaftaran memakai daftar centang yang sama dengan Ganti Kata Sandi, Akun Saya, dan Tambah Pengguna. Syaratnya minimal 12 karakter serta memuat huruf besar, huruf kecil, angka, dan simbol (lihat HE-CA-08 dan HE-USER-03).</t>
  </si>
  <si>
    <t>Formulir Daftar dan server menolak kata sandi yang kurang dari 12 karakter atau tidak memuat keempat jenis karakter.</t>
  </si>
  <si>
    <t>Halaman Masuk dan Daftar: istilah dibakukan</t>
  </si>
  <si>
    <t>Istilah bercampur bahasa Inggris, misalnya "Pilih Role", "Kembali ke login", dan "Hapus draft". Tombol "Hapus draft" langsung menghapus isian tanpa konfirmasi.</t>
  </si>
  <si>
    <t>"Pilih Role" menjadi "Peran", dan "PPAT belum dipilih" menjadi "Kantor PPAT belum dipilih". Kata "Login" pada tautan kembali menjadi "Masuk". Tombol "Hapus draft" menjadi "Kosongkan Formulir" dan meminta konfirmasi. Pesan "Kode OTP sudah dikirim ke email dan WhatsApp." tetap dipakai.</t>
  </si>
  <si>
    <t>Halaman Masuk dan Daftar tidak memuat istilah bahasa Inggris, dan "Kosongkan Formulir" selalu meminta konfirmasi.</t>
  </si>
  <si>
    <t>Daftar peran pendaftaran diambil dari API; prototipe memakai contoh Klien dan Asisten.</t>
  </si>
  <si>
    <t>IDDS-TN-07</t>
  </si>
  <si>
    <t>Verifikasi OTP: masa berlaku kode terlihat di layar</t>
  </si>
  <si>
    <t>Hanya ada tombol "Kirim ulang" dengan jeda 60 detik. Masa berlaku kode tidak disebut di layar.</t>
  </si>
  <si>
    <t>Setiap kanal (Email dan WhatsApp) menampilkan hitung mundur "Kode berlaku 4:59" yang berubah kuning saat sisa waktunya kurang dari 1 menit. Jeda "Kirim ulang dalam 0:59" tampil sejak kode dikirim. Saat waktu habis, kolom kode dan tombol Verifikasi nonaktif, lalu muncul pesan "Kode sudah kedaluwarsa". Tombol "Kirim Ulang" memulai hitungan baru. Pola sama dengan HE-LOGIN-01, HE-EAW-04, dan HE-EAWK-05. Durasi 5 menit adalah angka contoh; masa berlaku sebenarnya mengikuti server.</t>
  </si>
  <si>
    <t>Setiap kanal OTP pendaftaran menampilkan sisa masa berlaku kode, dan kode yang kedaluwarsa tidak dapat dipakai.</t>
  </si>
  <si>
    <t>Durasi 5 menit di prototipe adalah angka contoh (sama dengan Email OTP Onboarding); masa berlaku sebenarnya dari server tenant perlu dikonfirmasi tim.</t>
  </si>
  <si>
    <t>IDDS-TN-08</t>
  </si>
  <si>
    <t>Tenant · Pengaturan Aplikasi · Dashboard Sistem (penyesuaian IDDS)</t>
  </si>
  <si>
    <t>Dasbor: kartu dan aksi cepat memakai komponen IDDS</t>
  </si>
  <si>
    <t>Kartu dan tombol dibuat sendiri, dan keterangannya bercampur bahasa Inggris. Kartu "Pengaturan sistem" menyebut brand theme, padahal tema tidak ada di halaman Pengaturan.</t>
  </si>
  <si>
    <t>Kartu ringkasan dan "Mulai dari sini" memakai IDDS Card dengan ikon garis. Setiap aksi cepat berupa tautan yang dapat difokus dengan keyboard. Pengingat TERA memakai IDDS Alert dengan tombol "Daftar TERA" (pola sama dengan prototipe TERA). Keterangan kartu dibakukan: "Status ACTIVE" menjadi "Berstatus aktif", "Tambah, suspend, reset password" menjadi "Tambah pengguna, tangguhkan, atur ulang kata sandi", "RBAC matrix per modul" menjadi "Hak akses setiap peran per modul", dan "Brand theme + preferensi global" menjadi "Identitas aplikasi dan preferensi umum". Tema brand diatur di menu Tema Tampilan, bukan di Pengaturan.</t>
  </si>
  <si>
    <t>dev-app.eppat.id/t/&lt;kantor&gt; › Pengaturan Aplikasi › Dashboard Sistem</t>
  </si>
  <si>
    <t>Semua kartu Dasbor memakai komponen IDDS, dan keterangannya berbahasa Indonesia serta sesuai dengan isi halaman tujuan.</t>
  </si>
  <si>
    <t>IDDS-TN-09</t>
  </si>
  <si>
    <t>Dasbor: aktivitas terbaru mudah dibaca</t>
  </si>
  <si>
    <t>Aktivitas ditampilkan sebagai kode sistem, misalnya "LOGIN" dan "TOKEN_REFRESH", tanpa tautan ke Logs.</t>
  </si>
  <si>
    <t>Aktivitas terbaru memakai nama aktivitas yang sama dengan halaman Log Aktivitas ("Masuk", "Ubah izin peran"). Aktivitas gagal diberi titik merah, dan tombol "Lihat Semua Log" membuka halaman Log Aktivitas.</t>
  </si>
  <si>
    <t>Aktivitas terbaru di Dasbor tidak menampilkan kode sistem mentah, dan tombol "Lihat Semua Log" membuka halaman Log Aktivitas.</t>
  </si>
  <si>
    <t>IDDS-TN-10</t>
  </si>
  <si>
    <t>Tenant · Pengaturan Kantor · Peran &amp; Izin (penyesuaian IDDS)</t>
  </si>
  <si>
    <t>Peran &amp; Izin: matriks izin memakai IDDS Table dan Badge</t>
  </si>
  <si>
    <t>Sel dibuat sendiri, dan perubahan hanya ditandai lingkaran hijau selama 1 detik. Tidak ada pesan yang menyebut apa yang tersimpan. Judul kolom berbunyi "Peran \ Module".</t>
  </si>
  <si>
    <t>Matriks memakai IDDS Table dengan kolom peran tetap di kiri saat digulir. Setiap sel berupa tombol lencana IDDS (penuh, sebagian, tanpa izin) dengan label pembaca layar yang menyebut daftar izinnya, misalnya "Asisten, Verifikasi Berkas: 3 dari 4 izin (Lihat, Buat, Ubah). Atur izin". Sel juga punya tooltip daftar izin. Izin baru tersimpan setelah admin memilih Simpan di dialog Atur Izin. Setelah itu, IDDS Toast menyebut peran dan modulnya, dan sel yang berubah disorot sesaat.</t>
  </si>
  <si>
    <t>dev-app.eppat.id/t/&lt;kantor&gt; › System › Peran &amp; Izin</t>
  </si>
  <si>
    <t>Setiap penyimpanan izin memunculkan pesan yang menyebut peran dan modulnya. Matriks izin dapat dipakai dengan keyboard dan pembaca layar.</t>
  </si>
  <si>
    <t>IDDS-TN-11</t>
  </si>
  <si>
    <t>Peran &amp; Izin: dialog Atur Izin memakai IDDS Modal dan Checkbox</t>
  </si>
  <si>
    <t>Dialog dibuat sendiri dan memakai kotak centang bawaan peramban. Tombol Batal dan Simpan tidak memakai komponen tombol aplikasi.</t>
  </si>
  <si>
    <t>Dialog Atur Izin memakai IDDS Modal dengan empat IDDS Checkbox (Lihat, Buat, Ubah, Hapus) beserta keterangannya. Memilih Buat, Ubah, atau Hapus otomatis mencentang Lihat. Bila Lihat tidak dicentang, IDDS Alert memperingatkan bahwa menu tidak tampil untuk peran tersebut.</t>
  </si>
  <si>
    <t>Dialog Atur Izin hanya memakai komponen IDDS, dan izin Buat, Ubah, atau Hapus selalu disertai izin Lihat.</t>
  </si>
  <si>
    <t>IDDS-TN-12</t>
  </si>
  <si>
    <t>Peran &amp; Izin: formulir peran dengan pesan galat di bawah isian</t>
  </si>
  <si>
    <t>Semua pesan galat formulir tampil dalam satu kotak merah di bawah formulir.</t>
  </si>
  <si>
    <t>Tambah/Ubah Peran memakai IDDS Modal, Text Field, pilihan Fungsi, dan Checkbox. Pesan galat tampil di bawah isian yang salah. Hapus Peran memakai IDDS Modal Confirmation yang menyebut jumlah modul aktif, dengan tombol konfirmasi merah. Bila peran masih dipakai pengguna, tombol Hapus Peran tidak ditawarkan. Dialog langsung menjelaskan alasannya lewat IDDS Alert dan menyediakan tautan ke Daftar Pengguna.</t>
  </si>
  <si>
    <t>Setiap pesan galat formulir peran tampil di bawah isiannya. Alasan penolakan hapus menyebut jumlah pengguna dan langkah berikutnya.</t>
  </si>
  <si>
    <t>Cek format dan duplikat kode di formulir adalah tambahan prototipe; server tetap menjadi penentu akhir.</t>
  </si>
  <si>
    <t>Tenant · Pengaturan Aplikasi · Pengaturan (penyesuaian IDDS)</t>
  </si>
  <si>
    <t>Pengaturan: IDDS Toggle, pilihan zona waktu, dan konfirmasi pemeliharaan</t>
  </si>
  <si>
    <t>Zona waktu diketik bebas ("Format IANA"), dan sakelar berupa kotak centang. Mode pemeliharaan langsung aktif setelah Simpan tanpa konfirmasi. Perubahan hilang tanpa peringatan saat pindah menu.</t>
  </si>
  <si>
    <t>Isian memakai IDDS Text Field. Zona Waktu berupa pilihan WIB/WITA/WIT (nilainya tetap berformat IANA) agar tidak salah ketik. Registrasi mandiri dan mode pemeliharaan memakai IDDS Toggle, sedangkan pesan pemeliharaan memakai IDDS Text Area. Kaki formulir menampilkan jumlah perubahan yang belum disimpan. Menyalakan mode pemeliharaan meminta konfirmasi lewat IDDS Modal Confirmation, dan hasil simpan memakai IDDS Toast. Berpindah menu saat ada perubahan memunculkan dialog "Tinggalkan halaman ini?" (pola sama dengan HE-TERA-03).</t>
  </si>
  <si>
    <t>dev-app.eppat.id/t/&lt;kantor&gt; › System › Pengaturan</t>
  </si>
  <si>
    <t>Zona waktu dipilih dari daftar sehingga tidak dapat salah ketik. Mode pemeliharaan tidak aktif tanpa konfirmasi, dan perubahan tidak hilang tanpa peringatan.</t>
  </si>
  <si>
    <t>IDDS-TN-14</t>
  </si>
  <si>
    <t>Tenant · Pengaturan Kantor · Log Aktivitas (penyesuaian IDDS)</t>
  </si>
  <si>
    <t>Log Aktivitas: saringan, tabel, dan halaman memakai komponen IDDS</t>
  </si>
  <si>
    <t>Navigasi "Sebelumnya/Berikutnya" berupa tombol polos dan hanya muncul bila ada lebih dari 50 aktivitas. Status berbunyi "Sukses"/"Gagal".</t>
  </si>
  <si>
    <t>Saringan memakai IDDS Select Dropdown (Jenis aktivitas) dan Input Search (Cari keterangan). Tabel memakai IDDS Table dengan status IDDS Badge "Berhasil"/"Gagal". Navigasi halaman memakai IDDS Pagination yang selalu tampil dengan keterangan "Menampilkan 1–14 dari 14 aktivitas". Bila tidak ada yang cocok, tersedia tombol "Hapus Saringan".</t>
  </si>
  <si>
    <t>dev-app.eppat.id/t/&lt;kantor&gt; › System › Log Aktivitas</t>
  </si>
  <si>
    <t>Halaman Log Aktivitas hanya memakai komponen IDDS, dan jumlah data selalu terlihat.</t>
  </si>
  <si>
    <t>IDDS-TN-15</t>
  </si>
  <si>
    <t>Tenant · Pengaturan Aplikasi dan Pengaturan Kantor · Semua halaman (penyesuaian IDDS)</t>
  </si>
  <si>
    <t>Bantuan di setiap halaman Pengaturan Aplikasi</t>
  </si>
  <si>
    <t>Tidak ada panduan atau kontak dukungan di halaman System.</t>
  </si>
  <si>
    <t>Setiap halaman (Dasbor, Peran &amp; Izin, Pengaturan, Log Aktivitas) memiliki tombol Bantuan di kanan judul. Tombol ini membuka IDDS Drawer berisi penjelasan khusus halaman itu, pertanyaan umum (IDDS Accordion), dan kontak dukungan. Pola sama dengan saran HE-UMUM-02 pada prototipe Daftar Pengguna dan TERA.</t>
  </si>
  <si>
    <t>dev-app.eppat.id/t/&lt;kantor&gt; › System › Semua halaman System</t>
  </si>
  <si>
    <t>Setiap halaman System punya tombol Bantuan yang isinya khusus untuk halaman tersebut.</t>
  </si>
  <si>
    <t>Kontak dukungan di prototipe adalah data contoh; isi dengan kontak resmi tim E-PPAT.</t>
  </si>
  <si>
    <t>Menu Pengaturan Aplikasi: istilah dibakukan</t>
  </si>
  <si>
    <t>Istilah bercampur bahasa Inggris, misalnya "Peran \ Module", "user dapat di-assign peran ini", "Ubah hak akses (permission)", dan "Buat role".</t>
  </si>
  <si>
    <t>Istilah teknis dan bahasa Inggris diganti. "Module" menjadi "Modul", "di-assign" menjadi "diberikan", "role" menjadi "peran", "permission" menjadi "izin", dan "Login/Logout" menjadi "Masuk/Keluar". "Refresh sesi" menjadi "Sesi diperpanjang", "Sukses" menjadi "Berhasil", "RBAC per modul" menjadi "Atur hak akses setiap peran per modul", dan "Preferensi global aplikasi" menjadi "Preferensi umum aplikasi".</t>
  </si>
  <si>
    <t>Halaman System tidak memuat istilah bahasa Inggris atau kode sistem mentah, kecuali kode peran (ROLE_…).</t>
  </si>
  <si>
    <t>IDDS-TN-17</t>
  </si>
  <si>
    <t>Tenant · Konten Situs · Halaman Depan (penyesuaian IDDS)</t>
  </si>
  <si>
    <t>Halaman Depan: daftar halaman memakai komponen IDDS dan status berkonfirmasi</t>
  </si>
  <si>
    <t>Status diubah dengan sekali klik pada lencana "Aktif/Non-aktif" tanpa konfirmasi, padahal lencana tidak tampak seperti tombol. Empat tombol berjajar di setiap baris. Kondisi kosong menyuruh "jalankan ulang migrasi 000009 atau buat manual via menu Templates".</t>
  </si>
  <si>
    <t>Setiap halaman tampil sebagai IDDS Card berisi nama, alamat publik, dan lencana status "Tayang"/"Tidak tayang". Status diubah lewat IDDS Toggle "Tayang di situs" yang berlabel nama halaman. Toggle meminta konfirmasi sebelum menayangkan atau menyembunyikan halaman publik. Aksi utama "Ubah Tata Letak" tetap terlihat. Info, Ekspor, dan Hapus dikumpulkan di IDDS Action Dropdown berlabel nama halaman. Hapus memakai IDDS Modal Confirmation yang menyebut alamat publik yang ikut hilang. Kondisi kosong tidak lagi menyebut "migrasi 000009".</t>
  </si>
  <si>
    <t>dev-app.eppat.id/t/&lt;kantor&gt; › CMS › Halaman Depan</t>
  </si>
  <si>
    <t>Halaman tidak dapat ditayangkan atau disembunyikan tanpa konfirmasi, dan daftar halaman tidak memuat istilah teknis.</t>
  </si>
  <si>
    <t>Daftar alamat terlarang perlu diperoleh dari tim, misalnya admin, api, login, install, dan runtime; prototipe memakai contoh.</t>
  </si>
  <si>
    <t>IDDS-TN-18</t>
  </si>
  <si>
    <t>Tenant · Konten Situs · Halaman Depan › Penyusun tata letak (penyesuaian IDDS)</t>
  </si>
  <si>
    <t>Penyusun tata letak: aksi blok selalu terlihat dan label berbahasa Indonesia</t>
  </si>
  <si>
    <t>Aksi blok hanya muncul saat kursor di atas blok sehingga tidak terjangkau dengan layar sentuh dan keyboard. Label bercampur bahasa Inggris: "Save Layout", "● Unsaved", "Component", "Properties", "Layout Width", "Section ID", "Brand Title", "Show Arrows", "Bento Rows", "Add Row".</t>
  </si>
  <si>
    <t>Tombol naik, turun, duplikat, dan hapus pada setiap blok selalu terlihat, tidak hanya saat kursor di atas blok. Setiap tombol punya label pembaca layar yang menyebut nama blok. Panel Properti memakai IDDS Text Field, Select, Toggle, dan isian warna. Judul panel memakai nama blok yang rapi ("Grid Kartu", bukan "card grid"). Penanda "Belum disimpan" memakai IDDS Badge, dan hasil simpan memakai IDDS Toast. Kembali saat ada perubahan memunculkan IDDS Modal Confirmation. Penyusun yang sama dipakai di Artikel &amp; Halaman ("Ubah Tata Letak").</t>
  </si>
  <si>
    <t>dev-app.eppat.id/t/&lt;kantor&gt; › CMS › Halaman Depan › Penyusun tata letak</t>
  </si>
  <si>
    <t>Semua aksi blok dapat dipakai dengan keyboard dan layar sentuh, dan penyusun tata letak tidak memuat label bahasa Inggris.</t>
  </si>
  <si>
    <t>IDDS-TN-19</t>
  </si>
  <si>
    <t>Tenant · Konten Situs · Tema Tampilan (penyesuaian IDDS)</t>
  </si>
  <si>
    <t>Tema Tampilan: IDDS Tab dan penjaga perubahan belum disimpan</t>
  </si>
  <si>
    <t>Perubahan langsung diterapkan ke seluruh aplikasi sebelum disimpan, lalu hilang tanpa peringatan saat pindah menu. Banner sukses/galat di atas halaman tidak dapat ditutup. Tombol Batal langsung membuang semua perubahan.</t>
  </si>
  <si>
    <t>Tab utama dan sub-tab Komponen memakai IDDS Tab; pilihan memakai IDDS Select, Checkbox, dan Radio. Perubahan tampil di "Pratinjau Langsung" dan baru berlaku untuk seluruh aplikasi setelah Simpan. Berpindah menu saat ada perubahan memunculkan dialog "Tinggalkan halaman ini?". Tombol Batal meminta konfirmasi, dan hasil simpan memakai IDDS Toast, bukan banner yang tidak dapat ditutup.</t>
  </si>
  <si>
    <t>dev-app.eppat.id/t/&lt;kantor&gt; › CMS › Tema Tampilan</t>
  </si>
  <si>
    <t>Tema tidak berubah bagi pengguna lain sebelum disimpan, dan perubahan tidak hilang tanpa peringatan.</t>
  </si>
  <si>
    <t>Tema Tampilan: cek kontras warna</t>
  </si>
  <si>
    <t>Warna dapat diisi bebas tanpa pemeriksaan kontras. Kartu "Warna Custom" tetap tampil di mode Preset, dan mengeditnya diam-diam memindahkan mode ke Custom.</t>
  </si>
  <si>
    <t>Setiap pasangan warna penting menampilkan IDDS Badge rasio kontras sesuai WCAG 2.2 AA, misalnya "6,1 : 1 · Lolos AA" atau "2,8 : 1 · Kurang kontras". Pasangan yang diperiksa: warna utama dengan teks putih, teks utama dengan Background, dan teks sidebar dengan latar sidebar. Mengedit "Warna Kustom" saat mode Preset memunculkan pemberitahuan bahwa mode berpindah ke Kustom.</t>
  </si>
  <si>
    <t>Admin melihat peringatan sebelum menyimpan pasangan warna yang kontrasnya di bawah 4,5 : 1.</t>
  </si>
  <si>
    <t>Warna preset selain e-PPAT di prototipe diturunkan dari warna contohnya; nilai sebenarnya mengikuti token IDDS tiap preset.</t>
  </si>
  <si>
    <t>IDDS-TN-21</t>
  </si>
  <si>
    <t>Tenant · Konten Situs · Master Konten (penyesuaian IDDS)</t>
  </si>
  <si>
    <t>Master Konten: tab, daftar item, dan editor menu yang jelas</t>
  </si>
  <si>
    <t>Item slider ditampilkan sebagai alamat berkas gambar. Pesan galat "Code dan Name wajib diisi." tampil di atas formulir setelah tombol ditekan. Label berbahasa Inggris: "Add Menu Items", "Menu Structure", "Article Page", "Same tab/New tab". Arah tombol dijelaskan dengan simbol "→/←".</t>
  </si>
  <si>
    <t>Tab Slider/Menu/Footer memakai IDDS Tab. Item slider tampil dengan gambar kecil dan judulnya, bukan alamat berkas. Formulir "Tambah Slider/Menu/Footer" memakai IDDS Modal dengan pesan galat di bawah isian. Kode hanya boleh berisi huruf kecil, angka, dan tanda hubung. Editor menu memakai label bahasa Indonesia ("Tambah Item Menu", "Struktur Menu", "Tab yang sama/Tab baru"). Tombol naik, turun, jadikan sub-menu, dan keluarkan dari sub-menu berlabel nama item.</t>
  </si>
  <si>
    <t>dev-app.eppat.id/t/&lt;kantor&gt; › CMS › Master Konten</t>
  </si>
  <si>
    <t>Admin dapat mengenali item slider tanpa membuka formulir dan mengetahui halaman yang terdampak sebelum menghapus.</t>
  </si>
  <si>
    <t>IDDS-TN-22</t>
  </si>
  <si>
    <t>Tenant · Konten Situs · Artikel &amp; Halaman (penyesuaian IDDS)</t>
  </si>
  <si>
    <t>Artikel &amp; Halaman: status terbaca dan formulir tidak hilang tanpa peringatan</t>
  </si>
  <si>
    <t>Kolom Jenis dan Status menampilkan nilai mentah "post/page" dan "published/draft/archived". Formulir tertutup tanpa konfirmasi saat pengguna mengklik di luar formulir atau menekan Esc, sehingga artikel panjang bisa hilang.</t>
  </si>
  <si>
    <t>Saringan memakai IDDS Button Group, dan tabel memakai IDDS Table. Jenis memakai label "Artikel/Berita" dan "Halaman". Status memakai lencana "Terbit" (hijau), "Draf" (kuning), dan "Diarsipkan" (abu-abu). Formulir memakai IDDS Modal dengan pesan galat di bawah isian ("Judul wajib diisi."). Menutup formulir yang sudah diisi (tombol Batal, X, klik di luar, atau Esc) meminta konfirmasi "Buang perubahan?".</t>
  </si>
  <si>
    <t>dev-app.eppat.id/t/&lt;kantor&gt; › CMS › Artikel &amp; Halaman</t>
  </si>
  <si>
    <t>Daftar post tidak menampilkan nilai mentah, dan isian formulir tidak pernah hilang tanpa konfirmasi.</t>
  </si>
  <si>
    <t>IDDS-TN-23</t>
  </si>
  <si>
    <t>Tenant · Konten Situs · Pustaka Media (penyesuaian IDDS)</t>
  </si>
  <si>
    <t>Pustaka Media: unggah seret-lepas dan aksi selalu terlihat</t>
  </si>
  <si>
    <t>Hanya ada tombol "Upload File" tanpa informasi tipe dan ukuran berkas. Tombol Salin URL dan Hapus hanya muncul saat kursor di atas kartu, dan penyalinan hanya ditandai ikon centang selama 1,5 detik. Jenis berkas tampil sebagai MIME, misalnya "vnd.openxmlformats-officedocument.wordprocessingml.document".</t>
  </si>
  <si>
    <t>Unggah memakai IDDS File Upload yang menerima seret-lepas dan menyebut tipe berkas yang diterima. Tombol "Salin URL" dan "Hapus" selalu terlihat di setiap kartu dan berlabel nama berkas. Menyalin URL memunculkan IDDS Toast. Jenis berkas tampil ringkas ("JPG", "PDF", "Word", "Excel"), bukan tipe MIME yang panjang.</t>
  </si>
  <si>
    <t>dev-app.eppat.id/t/&lt;kantor&gt; › CMS › Pustaka Media</t>
  </si>
  <si>
    <t>Semua aksi media dapat dijangkau tanpa kursor, dan admin mengetahui dampak menghapus berkas sebelum menghapusnya.</t>
  </si>
  <si>
    <t>Batas ukuran 5 MB di prototipe adalah angka contoh; batas sebenarnya dari server perlu dikonfirmasi tim.</t>
  </si>
  <si>
    <t>IDDS-TN-24</t>
  </si>
  <si>
    <t>Tenant · Konten Situs · Semua halaman (penyesuaian IDDS)</t>
  </si>
  <si>
    <t>Semua halaman Konten Situs: pemilih media seragam dengan pencarian</t>
  </si>
  <si>
    <t>Ada dua pemilih media yang berbeda: pemilih Setting Theme tanpa pencarian (maksimal 80 berkas) dan pemilih penyusun tata letak dengan pencarian.</t>
  </si>
  <si>
    <t>Tema Tampilan, penyusun tata letak, Master Konten, dan formulir Posts memakai satu IDDS Modal "Pilih Gambar" yang sama. Modal itu berisi pencarian nama berkas, tombol Unggah, kisi gambar yang dapat difokus dengan keyboard, dan jumlah berkas.</t>
  </si>
  <si>
    <t>dev-app.eppat.id/t/&lt;kantor&gt; › CMS › Semua halaman CMS</t>
  </si>
  <si>
    <t>Semua isian gambar di CMS membuka pemilih media yang sama.</t>
  </si>
  <si>
    <t>IDDS-TN-25</t>
  </si>
  <si>
    <t>Bantuan di setiap halaman Konten Situs</t>
  </si>
  <si>
    <t>Tidak ada panduan atau kontak dukungan di halaman CMS.</t>
  </si>
  <si>
    <t>Setiap halaman Konten Situs (Halaman Depan, penyusun tata letak, Tema Tampilan, Master Konten, Artikel &amp; Halaman, Pustaka Media) memiliki tombol Bantuan di kanan judul. Tombol ini membuka IDDS Drawer berisi penjelasan khusus halaman itu, pertanyaan umum (IDDS Accordion), dan kontak dukungan. Pola sama dengan saran HE-UMUM-02.</t>
  </si>
  <si>
    <t>Setiap halaman CMS punya tombol Bantuan yang isinya khusus untuk halaman tersebut.</t>
  </si>
  <si>
    <t>Kontak dukungan di prototipe adalah data contoh.</t>
  </si>
  <si>
    <t>IDDS-TN-26</t>
  </si>
  <si>
    <t>Menu Konten Situs: istilah dan ejaan dibakukan</t>
  </si>
  <si>
    <t>Label dan pesan bercampur bahasa Inggris dan istilah developer, misalnya "Block di builder yang memakai ID master ini akan jadi broken" dan "Markup di-sanitize via DOMPurify".</t>
  </si>
  <si>
    <t>Istilah dan ejaan dibakukan: "Save Layout" menjadi "Simpan Tata Letak", "Import/Export" menjadi "Impor/Ekspor", "Upload" menjadi "Unggah", "Non-aktif" menjadi "Nonaktif", "di-undo" menjadi "dibatalkan", dan "konfigurasi-nya" menjadi "konfigurasinya". Label isian juga dibakukan: "Code/Name" menjadi "Kode/Nama", "Excerpt" menjadi "Ringkasan", "Tags" menjadi "Tag", "Density" menjadi "Kerapatan", "Primary" menjadi "Warna utama", dan "Tambah Post" menjadi "Tambah Artikel/Halaman". Istilah teknis yang bocor ke layar ("DOMPurify", "sanitize", "WYSIWYG", "broken", "siblings", "properties picker") diganti kalimat biasa. Nama menu di sidebar tidak diubah.</t>
  </si>
  <si>
    <t>Halaman CMS tidak memuat istilah developer atau bahasa Inggris, kecuali nama menu dan nama preset.</t>
  </si>
  <si>
    <t>Tenant · Akta · Dashboard Akta (penyesuaian IDDS)</t>
  </si>
  <si>
    <t>Dashboard: kartu, grafik, dan warna status seragam</t>
  </si>
  <si>
    <t>Keterangan kartu hanya "order". Warna grafik ditulis langsung di kode (slate/biru/kuning/hijau) dan tidak ikut tema. Status bernilai 0 hilang dari legenda. Jumlah hanya tampil di tooltip saat kursor di atas grafik, dan sumbu batang hanya memakai kode (AJB).</t>
  </si>
  <si>
    <t>Kartu ringkasan memakai IDDS Card. Keterangan setiap status menjelaskan artinya, sama dengan prototipe Permohonan AJB: "Klien mengajukan", "Mengumpulkan data", "Data lengkap", "Pembuatan akta", "Akta selesai". Warna grafik diambil dari token warna status tema (bukan kode warna tetap) dan sekeluarga dengan warna lencana statusnya. Pengecualiannya Penyusunan: grafik memakai warna brand agar Penyusunan dapat dibedakan dari Pengumpulan, karena keduanya berlencana "info" di live dan di prototipe Permohonan AJB. Legenda donat selalu menampilkan semua status beserta jumlah dan persentasenya. Grafik batang menulis nama jenis akta lengkap beserta jumlahnya, sehingga angka terbaca tanpa tooltip.</t>
  </si>
  <si>
    <t>dev-app.eppat.id/t/&lt;kantor&gt; › Akta › Dashboard</t>
  </si>
  <si>
    <t>Warna dan arti status sama di Dashboard, lencana, serta Order. Angka grafik terbaca tanpa kursor.</t>
  </si>
  <si>
    <t>Warna DRAFTING memakai warna brand agar berbeda dari PENGUMPULAN, karena keduanya berlencana info di live.</t>
  </si>
  <si>
    <t>Dashboard: daftar permohonan dapat dibuka dan data dapat dimuat ulang</t>
  </si>
  <si>
    <t>"Perlu tindakan" tidak menjelaskan tindakan yang dibutuhkan. Tidak ada waktu pembaruan atau tombol muat ulang. Pesan "Gagal memuat dashboard." tampil tanpa tombol coba lagi.</t>
  </si>
  <si>
    <t>"Perlu tindakan" menyebut tindakan berikutnya untuk setiap permohonan (misalnya "Lengkapi berkas", "Mulai verifikasi"). Setiap baris adalah tautan ke Permohonan AJB yang dapat difokus dengan keyboard. Di kanan judul tampil waktu pembaruan dan tombol "Muat Ulang". Bila data gagal dimuat, IDDS Alert menyediakan tombol "Coba Lagi". Keadaan ini dapat dicoba lewat pil "Simulasi galat Dashboard" di bilah atas.</t>
  </si>
  <si>
    <t>Admin mengetahui tindakan berikutnya untuk setiap order dan dapat memuat ulang data tanpa memuat ulang halaman.</t>
  </si>
  <si>
    <t>Tenant · Pengaturan Kantor · Profil Kantor (penyesuaian IDDS)</t>
  </si>
  <si>
    <t>Profil Kantor: pesan galat di bawah isian dan izin Ubah dipatuhi</t>
  </si>
  <si>
    <t>Pesan galat hanya muncul setelah Simpan dan tampil di kotak galat serta toast sekaligus. Formulir tetap aktif untuk pengguna tanpa izin Ubah dan baru ditolak server. Pindah tab Profil ↔ Layanan Akta membuang isian tanpa peringatan.</t>
  </si>
  <si>
    <t>Isian memakai IDDS Text Field/Text Area yang terhubung dengan labelnya. Pesan galat tampil di bawah isian saat fokus meninggalkan isian dan saat menyimpan, tanpa kotak galat ganda dan toast. Email memakai tipe email, dan telepon memakai tipe telepon. Pengguna yang hanya punya izin Lihat melihat isian terkunci dengan IDDS Alert penjelasan (coba lewat pil "Izin Profil Kantor" di bilah atas). Kaki formulir menampilkan jumlah perubahan yang belum disimpan. Pindah tab atau menu saat ada perubahan meminta konfirmasi.</t>
  </si>
  <si>
    <t>dev-app.eppat.id/t/&lt;kantor&gt; › Akta › Profil Kantor</t>
  </si>
  <si>
    <t>Pengguna tanpa izin Ubah tidak dapat mengubah formulir. Isian tidak hilang tanpa peringatan, dan setiap pesan galat tampil di bawah isiannya.</t>
  </si>
  <si>
    <t>Profil Kantor: PPAT penanda tangan dan kartu sidebar yang jelas</t>
  </si>
  <si>
    <t>Tidak terlihat apakah PPAT terpilih sudah punya CA aktif, padahal CA aktif disyaratkan. Petunjuk "Atur role fungsi PPAT di menu Peran &amp; Izin dulu" bukan tautan. Warna kartu dapat diisi bebas tanpa cek kontras. Pratinjau hilang bila data kosong, dan kartu sidebar baru berubah setelah halaman dimuat ulang.</t>
  </si>
  <si>
    <t>Pilihan "PPAT Penanda Tangan" menampilkan status CA pengguna terpilih (IDDS Badge "CA aktif" / "CA belum aktif"). Bila belum ada pengguna PPAT, tersedia tautan ke Peran &amp; Izin. Warna kartu sidebar diberi IDDS Badge kontras WCAG. Pratinjau kartu selalu tampil (memakai contoh bila data kosong), dan kartu di sidebar langsung berubah setelah disimpan.</t>
  </si>
  <si>
    <t>Admin melihat status CA PPAT penanda tangan dan kontras warna kartu sebelum menyimpan.</t>
  </si>
  <si>
    <t>IDDS-TN-31</t>
  </si>
  <si>
    <t>Tenant · Pengaturan Kantor · Profil Kantor › Layanan Akta (penyesuaian IDDS)</t>
  </si>
  <si>
    <t>Layanan Akta: menonaktifkan layanan meminta konfirmasi</t>
  </si>
  <si>
    <t>Sakelar langsung tersimpan tanpa konfirmasi. Pesan memakai kode ("AJB dinonaktifkan.") dan menempel tanpa hilang. Alasan sakelar nonaktif hanya ada di atribut title.</t>
  </si>
  <si>
    <t>Setiap layanan memakai IDDS Toggle. Menonaktifkan layanan memunculkan IDDS Modal Confirmation yang menjelaskan bahwa menu Permohonan layanan itu hilang untuk seluruh pengguna kantor. Hasilnya diumumkan lewat IDDS Toast berisi nama layanan ("Akta Jual Beli diaktifkan."). Layanan yang belum tersedia berlencana "Segera hadir" dengan keterangan yang terlihat, bukan hanya tooltip.</t>
  </si>
  <si>
    <t>dev-app.eppat.id/t/&lt;kantor&gt; › Akta › Profil Kantor › Layanan Akta</t>
  </si>
  <si>
    <t>Layanan tidak dapat dinonaktifkan tanpa konfirmasi yang menjelaskan dampaknya.</t>
  </si>
  <si>
    <t>IDDS-TN-32</t>
  </si>
  <si>
    <t>Tenant · Akta · Salinan Akta (penyesuaian IDDS)</t>
  </si>
  <si>
    <t>Salinan Akta: daftar menunjukkan status salinan</t>
  </si>
  <si>
    <t>Kolom Status selalu "Selesai" untuk semua baris sehingga tidak membantu. Judul kolom "Tgl Akta" disingkat. Pencarian memanggil server pada setiap ketikan.</t>
  </si>
  <si>
    <t>Daftar memakai IDDS Input Search, Table, dan Pagination. Kolom Status yang selalu "Selesai" diganti kolom "Salinan" yang menunjukkan langkah berikutnya: "Belum ada scan", "Siap dikirim", atau "Terkirim ke N pihak". Judul kolom ditulis lengkap ("Tanggal Akta").</t>
  </si>
  <si>
    <t>dev-app.eppat.id/t/&lt;kantor&gt; › Akta › Salinan Akta</t>
  </si>
  <si>
    <t>Admin dapat melihat akta yang belum diunggah hasil pindaiannya atau belum dikirim tanpa membuka detail.</t>
  </si>
  <si>
    <t>Pencarian sebaiknya diberi jeda (debounce) agar tidak memanggil server pada setiap ketikan.</t>
  </si>
  <si>
    <t>IDDS-TN-33</t>
  </si>
  <si>
    <t>Tenant · Akta · Salinan Akta › Detail (penyesuaian IDDS)</t>
  </si>
  <si>
    <t>Detail salinan: unggah, renvoi, dan alasan tombol nonaktif terlihat</t>
  </si>
  <si>
    <t>Alasan tombol nonaktif hanya ada di atribut title sehingga tidak terjangkau di layar sentuh dan pembaca layar. Perubahan renvoi hilang tanpa peringatan saat kembali ke daftar. Tombol hapus hasil pindai hanya berupa ikon tanpa label.</t>
  </si>
  <si>
    <t>Hasil pindai (scan) akta diunggah lewat IDDS File Upload: seret-lepas, PDF maks. 20 MB, dan pesan galat di bawah kotak unggah. Alasan "Kirim Salinan" belum aktif tampil sebagai teks bantuan di bawah tombol, bukan hanya tooltip. Catatan Renvoi memakai IDDS Badge "Belum disimpan" dan meminta konfirmasi bila halaman ditinggalkan sebelum disimpan. Tombol hapus hasil pindai berlabel nama berkas.</t>
  </si>
  <si>
    <t>dev-app.eppat.id/t/&lt;kantor&gt; › Akta › Salinan Akta › Detail</t>
  </si>
  <si>
    <t>Alasan tombol nonaktif terbaca di semua perangkat, dan catatan renvoi tidak hilang tanpa peringatan.</t>
  </si>
  <si>
    <t>IDDS-TN-34</t>
  </si>
  <si>
    <t>Tenant · Akta · Salinan Akta › Kirim &amp; Riwayat (penyesuaian IDDS)</t>
  </si>
  <si>
    <t>Kirim Salinan dan Riwayat: validasi email dan konfirmasi cabut</t>
  </si>
  <si>
    <t>Peran tampil sebagai kode mentah (PENJUAL, PEMBELI). Format email tidak diperiksa di dialog ini, berbeda dengan dialog kirim di E-Akta Wizard. "Cabut" langsung dijalankan tanpa konfirmasi.</t>
  </si>
  <si>
    <t>Dialog Kirim memakai IDDS Checkbox untuk setiap penerima. Peran ditulis "Penjual/Pembeli/Saksi", bukan kode, dan format email diperiksa di bawah isiannya. Sebelum mengirim, tampil ringkasan jumlah penerima. Di Riwayat, "Cabut Tautan" meminta konfirmasi lewat IDDS Modal Confirmation karena tindakan ini tidak dapat dibatalkan.</t>
  </si>
  <si>
    <t>dev-app.eppat.id/t/&lt;kantor&gt; › Akta › Salinan Akta › Kirim &amp; Riwayat</t>
  </si>
  <si>
    <t>Salinan tidak terkirim ke email yang formatnya salah, dan tautan tidak dapat dicabut tanpa konfirmasi.</t>
  </si>
  <si>
    <t>IDDS-TN-35</t>
  </si>
  <si>
    <t>Tenant · Pengaturan Kantor · Aktivasi e-Meterai (penyesuaian IDDS)</t>
  </si>
  <si>
    <t>Aktivasi e-Meterai: status terlihat dan email divalidasi di isian</t>
  </si>
  <si>
    <t>Tidak ada status aktivasi; pengguna hanya mengandalkan toast sesaat. Pesan galat email tampil di kotak terpisah, dan isian tidak bertanda wajib. Teks menyebut "e-materai.co.id", padahal tautannya e-meterai.co.id. Email dapat diganti tanpa konfirmasi.</t>
  </si>
  <si>
    <t>Bagian atas menampilkan status aktivasi (IDDS Badge "Belum diaktifkan" / "Aktif") beserta email yang tersimpan. Isian Email bertanda wajib, dan pesan galatnya tampil di bawah isian. Mengganti email yang sudah tersimpan meminta konfirmasi. Alamat portal ditulis benar, yaitu e-meterai.co.id. Tautannya membuka tab baru, dan keterangan itu tertulis pada tautan.</t>
  </si>
  <si>
    <t>dev-app.eppat.id/t/&lt;kantor&gt; › Akta › Aktivasi e-Meterai</t>
  </si>
  <si>
    <t>Halaman Aktivasi e-Meterai selalu menampilkan status aktivasi dan email yang tersimpan.</t>
  </si>
  <si>
    <t>Status aktif di prototipe hanya berdasarkan email tersimpan; bila server dapat memverifikasi ke Peruri, tampilkan hasil verifikasinya.</t>
  </si>
  <si>
    <t>IDDS-TN-36</t>
  </si>
  <si>
    <t>Tenant · Akta dan Pengaturan Kantor · Semua halaman (penyesuaian IDDS)</t>
  </si>
  <si>
    <t>Bantuan di setiap halaman menu Akta</t>
  </si>
  <si>
    <t>Tidak ada panduan atau kontak dukungan di halaman ini.</t>
  </si>
  <si>
    <t>Dashboard, Profil Kantor, Salinan Akta (daftar dan detail), dan Aktivasi e-Meterai memiliki tombol Bantuan di kanan judul. Tombol ini membuka IDDS Drawer berisi penjelasan khusus halaman, pertanyaan umum (IDDS Accordion), dan kontak dukungan. Pola sama dengan saran HE-UMUM-02.</t>
  </si>
  <si>
    <t>dev-app.eppat.id/t/&lt;kantor&gt; › Akta › Semua halaman Akta</t>
  </si>
  <si>
    <t>Setiap halaman Akta punya tombol Bantuan yang isinya khusus untuk halaman tersebut.</t>
  </si>
  <si>
    <t>Menu Akta: istilah dan ejaan dibakukan</t>
  </si>
  <si>
    <t>Satu layar punya tiga nama ("Dashboard", "Dashboard Drafting", "Dashboard Akta"). Ejaan "E-Materai", "e-Materai", "e-Meterai", dan "meterai" bercampur. Ada istilah bahasa Inggris "Download", "field", dan "font".</t>
  </si>
  <si>
    <t>Judul halaman disamakan dengan menu ("Dashboard Akta", bukan "Dashboard Drafting"). Istilah dibakukan: "Download Salinan" menjadi "Unduh Salinan", "Tgl Akta" menjadi "Tanggal Akta", "field wajib" menjadi "isian wajib", "Warna teks (font)" menjadi "Warna teks", dan "kadaluarsa" menjadi "kedaluwarsa". "E-Materai/e-Materai" menjadi "e-Meterai" sesuai KBBI dan Peruri, dan "Segera" menjadi "Segera hadir". Label status permohonan tetap sama dengan prototipe Permohonan AJB. Nama menu di sidebar tidak diubah di prototipe; usulan ejaan menu "Aktivasi e-Meterai" dicatat untuk keputusan tim.</t>
  </si>
  <si>
    <t>Setiap layar memakai satu nama, dan ejaan e-Meterai seragam di seluruh aplikasi.</t>
  </si>
  <si>
    <t>Nama menu sidebar "Aktivasi e-Meterai" belum diubah di prototipe; usulan ejaan "Aktivasi e-Meterai" perlu keputusan tim karena dipakai di semua menu.</t>
  </si>
  <si>
    <t>IDDS-TN-38</t>
  </si>
  <si>
    <t>Halaman Masuk dan Daftar: Bantuan di setiap layar</t>
  </si>
  <si>
    <t>Tidak ada panduan atau kontak dukungan di halaman Masuk, Daftar, dan verifikasi.</t>
  </si>
  <si>
    <t>Tombol Bantuan di atas kartu Masuk, Verifikasi 2 Faktor, Ganti Kata Sandi, Daftar, Verifikasi OTP, dan Akun Aktif membuka IDDS Drawer. Isinya mengikuti layar yang sedang dibuka: langkah singkat, pertanyaan umum, dan kontak dukungan. Pertanyaan umum mencakup lupa kata sandi, belum punya akun, kode OTP tidak masuk atau kedaluwarsa, kehilangan aplikasi autentikator, syarat kata sandi, pilihan peran, dan langkah setelah mendaftar. Pola sama dengan Bantuan di menu Pengaturan Aplikasi (IDDS-TN-15, HE-UMUM-02). Kontak bergaris putus-putus adalah data contoh.</t>
  </si>
  <si>
    <t>Setiap layar Masuk, verifikasi, Ganti Kata Sandi, dan Daftar punya tombol Bantuan yang isinya khusus untuk layar tersebut.</t>
  </si>
  <si>
    <t>IDDS-TN-39</t>
  </si>
  <si>
    <t>Tenant · Semua halaman › Notifikasi (penyesuaian IDDS)</t>
  </si>
  <si>
    <t>Panel notifikasi dengan jenis, status baca, dan aksesibilitas</t>
  </si>
  <si>
    <t>Panel live memakai daftar polos tanpa ikon atau jenis notifikasi. Tidak ada keadaan memuat atau galat, sehingga saat gagal dimuat panel menampilkan "Belum ada notifikasi.". Tidak ada saringan. Item tanpa tautan tetap tampak dapat diklik. Panel tidak dapat ditutup dengan Esc, dan fokus tidak dipindahkan. Angka lencana tidak terbaca pembaca layar, dan tombol lonceng tidak memakai aria-expanded atau aria-haspopup. Notifikasi E-Akta membuka daftar E-Akta Wizard, bukan order terkait.</t>
  </si>
  <si>
    <t>Lonceng di bilah atas membuka panel IDDS di bawah tombol. Panel menampilkan jumlah belum dibaca, tombol "Tandai Semua Dibaca", dan saringan "Semua" | "Belum dibaca". Setiap notifikasi punya ikon dan lencana jenis (Order baru, Verifikasi, Giliran tanda tangan, Tanda tangan selesai, Akta selesai, Salinan dibuka, Sistem). Notifikasi bertautan membuka halaman terkait dan otomatis ditandai dibaca. Notifikasi tanpa tautan tidak tampak dapat diklik dan punya tombol "Tandai dibaca". Panel punya keadaan memuat, galat dengan tombol "Coba Lagi", dan kosong. Nama tombol lonceng menyebut jumlah ("Notifikasi, 4 belum dibaca") dan tombol memakai aria-expanded. Fokus pindah ke panel, lalu Esc menutup panel dan mengembalikan fokus ke lonceng. Status belum dibaca tidak hanya ditandai dengan warna. Klien hanya menerima notifikasi tentang akta dan akunnya sendiri.</t>
  </si>
  <si>
    <t>dev-app.eppat.id/t/&lt;kantor&gt; › bilah atas › Notifikasi</t>
  </si>
  <si>
    <t>Panel notifikasi menampilkan jenis dan status baca serta punya keadaan memuat, galat, dan kosong. Panel dapat dipakai dengan keyboard dan membuka halaman terkait.</t>
  </si>
  <si>
    <t>Notifikasi diperbarui otomatis setiap 60 detik seperti live (GET /me/notifications?limit=20).</t>
  </si>
  <si>
    <t>IDDS-TN-40</t>
  </si>
  <si>
    <t>Tenant · Menu samping (penyesuaian IDDS)</t>
  </si>
  <si>
    <t>Menu samping: pola Sidebar IDDS, nama, dan urutan menu baru</t>
  </si>
  <si>
    <t>Menu samping gelap ala live dengan label grup berhuruf kapital, tanpa kartu profil pengguna, dan tanpa mode ciut. Menu dikelompokkan per modul teknis: System (Dasbor, Daftar User, Peran &amp; Izin, Pengaturan, Logs), CMS (Landing Page, Setting Theme, Master Konten, Posts &amp; Pages, Media Library), E-PPAT Module (Dashboard, Profil Kantor, Verifikasi Akta, Minuta, E-Akta Wizard, Akta Salinan, Aktivasi E-Materai), dan Layanan AJB (Order AJB).</t>
  </si>
  <si>
    <t>Kerangka menu samping mengikuti pola Sidebar IDDS dengan warna brand E-PPAT tetap: label grup kecil berhuruf biasa dengan chevron buka/tutup, menu berupa ikon dan label dengan tanda arahkan dan tanda menu aktif, paling banyak dua tingkat (grup lalu menu), dan kartu profil pengguna (inisial, nama, peran) di bagian bawah dengan versi aplikasi di bawahnya. Tombol di samping logo menciutkan menu menjadi ikon saja; nama menu tampil sebagai tooltip dan tetap dibacakan pembaca layar. Pilihan ciut diingat peramban. Di layar sempit menu tetap berupa laci. Kartu profil kantor tetap tampil di atas menu. Menu samping disusun dalam lima grup berurutan. Layanan: Permohonan AJB. Akta: Dashboard Akta, Verifikasi Berkas, Penyusunan Akta, Penandatanganan Akta, Salinan Akta. Pengaturan Kantor: Profil Kantor, Daftar Pengguna, Peran &amp; Izin, Log Aktivitas, Aktivasi e-Meterai. Pengaturan Aplikasi: Dashboard Sistem, Pengaturan. Konten Situs: Halaman Depan, Tema Tampilan, Master Konten, Artikel &amp; Halaman, Pustaka Media. Judul halaman, remah, dan Bantuan mengikuti nama menu. Istilah di layar ikut dibakukan: Order menjadi Permohonan (kode ORD tetap), Drafting menjadi Penyusunan, E-Akta Wizard menjadi Penandatanganan Akta, User menjadi Pengguna, Logs menjadi Log Aktivitas, dan Materai menjadi Meterai. Minuta sebagai dokumen akta tetap disebut minuta.</t>
  </si>
  <si>
    <t>dev-app.eppat.id/t/&lt;kantor&gt; › menu samping, judul halaman, dan remah</t>
  </si>
  <si>
    <t>Menu samping tampil dalam lima grup (Layanan, Akta, Pengaturan Kantor, Pengaturan Aplikasi, Konten Situs) dengan nama dan urutan baru. Judul halaman dan remah setiap layar sama dengan nama menunya.</t>
  </si>
  <si>
    <t>Hanya menu yang ada di live. Tugas Saya, Permohonan APHT, Arsip Akta, dan Template Akta belum ada di live sehingga belum ditambahkan.</t>
  </si>
  <si>
    <t>Penyesuaian IDDS · Platform (admin platform)</t>
  </si>
  <si>
    <t>Menu dev-app.eppat.id/platform yang tidak dinilai HE. Komponen disesuaikan dengan IDDS, letak pesan dan bahasa dibakukan, dan isi live tidak diubah.</t>
  </si>
  <si>
    <t>IDDS-PL-01</t>
  </si>
  <si>
    <t>Platform · Masuk (penyesuaian IDDS)</t>
  </si>
  <si>
    <t>Halaman Masuk platform: komponen IDDS dengan brand E-PPAT</t>
  </si>
  <si>
    <t>Isian dibuat sendiri. Isian kata sandi di halaman Masuk tidak punya tombol tampilkan. Kode 2 faktor diketik di satu isian biasa.</t>
  </si>
  <si>
    <t>Isian memakai IDDS Text Field dan Password Input dengan tombol tampilkan/sembunyikan. Kode 2 faktor memakai One-Time Password. Tombol, alert, drawer, dan dialog juga memakai komponen IDDS. Komponen dan teks sama dengan halaman Masuk tenant (IDDS-TN-01).</t>
  </si>
  <si>
    <t>dev-app.eppat.id/platform › Masuk</t>
  </si>
  <si>
    <t>Layar Masuk, Verifikasi 2 Faktor, Ganti Kata Sandi, dan Pemeliharaan platform hanya memakai komponen IDDS, termasuk Password Input bertombol tampilkan dan One-Time Password untuk kode 2 faktor.</t>
  </si>
  <si>
    <t>Pola sama dengan penyesuaian halaman Masuk tenant (IDDS-TN-01–07, 38).</t>
  </si>
  <si>
    <t>IDDS-PL-02</t>
  </si>
  <si>
    <t>Halaman Masuk platform: pesan galat di dalam kartu dan di bawah isian</t>
  </si>
  <si>
    <t>Semua pesan galat muncul sebagai dialog "Gagal masuk" atau "Verifikasi gagal" yang menutupi formulir dan harus ditutup dengan "Mengerti". Isian kosong hanya diberi satu pesan "Email dan kata sandi wajib diisi."</t>
  </si>
  <si>
    <t>Pesan galat masuk tampil sebagai IDDS Alert di dalam kartu. Isian kosong ditandai di bawah isiannya ("Email wajib diisi.", "Kata sandi wajib diisi."). Pesan galat kode 2 faktor tampil di bawah kolom kode. Pola sama dengan IDDS-TN-02.</t>
  </si>
  <si>
    <t>Tidak ada dialog untuk pesan galat masuk. Setiap pesan galat tampil di dalam kartu atau tepat di bawah isian dan kolom kode yang salah.</t>
  </si>
  <si>
    <t>IDDS-PL-03</t>
  </si>
  <si>
    <t>Halaman Masuk platform: logo terlihat di kartu</t>
  </si>
  <si>
    <t>Ruang logo di kiri teks atas judul "PORTAL PLATFORM" tampak kosong karena logo berwarna terang berada di atas kartu putih.</t>
  </si>
  <si>
    <t>Logo E-PPAT (atau logo dari Setting Theme platform) memakai versi berwarna sehingga terlihat di atas kartu putih. Pola sama dengan IDDS-TN-03.</t>
  </si>
  <si>
    <t>Logo terlihat jelas di kartu Masuk platform pada tema bawaan.</t>
  </si>
  <si>
    <t>IDDS-PL-04</t>
  </si>
  <si>
    <t>Halaman Masuk platform: teks pengantar untuk admin platform</t>
  </si>
  <si>
    <t>Pengantar berbunyi "Gunakan akun yang telah diaktivasi oleh administrator. Hubungi admin kalau belum punya akses." Kalimat ini sama dengan halaman Masuk tenant dan tidak menyebut admin yang dimaksud.</t>
  </si>
  <si>
    <t>Pengantar berbunyi "Masuk dengan akun admin platform. Hubungi tim E-PPAT bila belum punya akses." Pengguna langsung tahu halaman ini khusus admin platform dan kepada siapa harus bertanya.</t>
  </si>
  <si>
    <t>Pengantar halaman Masuk platform berbunyi "Masuk dengan akun admin platform. Hubungi tim E-PPAT bila belum punya akses."</t>
  </si>
  <si>
    <t>IDDS-PL-05</t>
  </si>
  <si>
    <t>Halaman Masuk platform: tombol Kembali ke Beranda punya tujuan</t>
  </si>
  <si>
    <t>Tombol "Kembali ke beranda" mengarah ke /platform, yaitu halaman yang sedang dibuka, sehingga tidak terjadi apa-apa saat dipilih.</t>
  </si>
  <si>
    <t>Tombol "Kembali ke Beranda" membuka beranda publik E-PPAT. Di prototipe ini, tombol menampilkan pemberitahuan karena beranda tidak termasuk prototipe. Tujuan pasti (beranda E-PPAT atau situs onboarding) perlu dikonfirmasi tim.</t>
  </si>
  <si>
    <t>Tombol "Kembali ke Beranda" membuka halaman beranda, bukan /platform.</t>
  </si>
  <si>
    <t>IDDS-PL-06</t>
  </si>
  <si>
    <t>Halaman Masuk platform: pesan galat akun bukan admin platform di dalam kartu</t>
  </si>
  <si>
    <t>Dialog "Gagal masuk" berisi "Akun ini bukan platform admin." (susunan kata mengikuti bahasa Inggris) tanpa arahan ke mana akun tersebut harus masuk.</t>
  </si>
  <si>
    <t>Bila akun benar tetapi bukan admin platform, kartu menampilkan IDDS Alert "Akun ini bukan admin platform." Alert itu juga menjelaskan bahwa akun kantor PPAT masuk lewat alamat kantor masing-masing. Email tetap terisi agar mudah diperbaiki.</t>
  </si>
  <si>
    <t>Akun yang bukan admin platform memunculkan IDDS Alert di dalam kartu beserta arahan ke alamat kantor, dan email tetap terisi.</t>
  </si>
  <si>
    <t>IDDS-PL-07</t>
  </si>
  <si>
    <t>Halaman Masuk platform: istilah dibakukan</t>
  </si>
  <si>
    <t>Istilah bercampur bahasa Inggris: "Login", "authenticator", "me-reset 2FA", dan "Password" di layar ganti kata sandi, sedangkan halaman Masuk memakai "Kata Sandi".</t>
  </si>
  <si>
    <t>"Login untuk" menjadi "Masuk untuk", dan "authenticator" menjadi "autentikator". Frasa "me-reset 2FA" menjadi "mengatur ulang verifikasi 2 faktor", dan "Kembali ke login" menjadi "Kembali ke Halaman Masuk". "Ganti Password", "Password Sementara", dan "Ubah Password" menjadi "Ganti Kata Sandi", "Kata Sandi Sementara", dan "Ubah Kata Sandi". "Password Berhasil Diubah!" menjadi "Kata sandi berhasil diubah". Teks sama dengan halaman Masuk tenant.</t>
  </si>
  <si>
    <t>Layar Masuk platform tidak memuat istilah "Login", "Password", "authenticator", atau "me-reset 2FA".</t>
  </si>
  <si>
    <t>IDDS-PL-08</t>
  </si>
  <si>
    <t>Syarat kata sandi sama di semua layar platform</t>
  </si>
  <si>
    <t>Layar ganti kata sandi wajib meminta 12 karakter dan 4 jenis karakter, tetapi Akun Saya &gt; Keamanan di platform cukup "Minimal 8 karakter". Akibatnya, admin platform dapat menurunkan kekuatan kata sandinya sendiri.</t>
  </si>
  <si>
    <t>Layar Ganti Kata Sandi memakai daftar centang yang sama dengan tenant: minimal 12 karakter serta memuat huruf besar, huruf kecil, angka, dan simbol. Akun Saya &gt; Keamanan di platform diusulkan memakai daftar centang yang sama (lihat HE-CA-08 dan HE-USER-03).</t>
  </si>
  <si>
    <t>Layar Ganti Kata Sandi dan Akun Saya &gt; Keamanan platform sama-sama menolak kata sandi yang kurang dari 12 karakter atau tidak memuat keempat jenis karakter.</t>
  </si>
  <si>
    <t>IDDS-PL-09</t>
  </si>
  <si>
    <t>Layar pemeliharaan memakai komponen IDDS</t>
  </si>
  <si>
    <t>Layar berisi nama aplikasi, judul "Sedang Dalam Pemeliharaan", pesan, dan tombol "Masuk sebagai admin". Tidak ada penjelasan admin yang dimaksud dan tidak ada bantuan.</t>
  </si>
  <si>
    <t>Layar pemeliharaan memakai kartu, ikon, dan tombol IDDS yang sama dengan halaman Masuk, dilengkapi tombol Bantuan. Label tombol menjadi "Masuk sebagai Admin Platform" agar jelas siapa yang tetap boleh masuk. Isi pesan tetap dari pengaturan pemeliharaan.</t>
  </si>
  <si>
    <t>Layar pemeliharaan memakai kartu, ikon, dan tombol IDDS, punya tombol Bantuan, dan tombol masuknya berbunyi "Masuk sebagai Admin Platform".</t>
  </si>
  <si>
    <t>IDDS-PL-10</t>
  </si>
  <si>
    <t>Bantuan di halaman Masuk platform</t>
  </si>
  <si>
    <t>Tidak ada panduan atau kontak dukungan di halaman Masuk platform, Verifikasi 2 Faktor, dan Pemeliharaan. Tidak ada tautan "Lupa kata sandi".</t>
  </si>
  <si>
    <t>Tombol Bantuan di atas kartu Masuk, Verifikasi 2 Faktor, Ganti Kata Sandi, dan Pemeliharaan membuka IDDS Drawer. Isinya mengikuti layar yang dibuka: langkah singkat, pertanyaan umum, dan kontak dukungan tim E-PPAT. Pertanyaan umum mencakup lupa kata sandi, akun bukan admin platform, kehilangan aplikasi autentikator, syarat kata sandi, dan pemeliharaan. Pola sama dengan IDDS-TN-38. Kontak bergaris putus-putus adalah data contoh.</t>
  </si>
  <si>
    <t>Layar Masuk, Verifikasi 2 Faktor, Ganti Kata Sandi, dan Pemeliharaan platform punya tombol Bantuan yang isinya khusus untuk layar tersebut.</t>
  </si>
  <si>
    <t>IDDS-PL-11</t>
  </si>
  <si>
    <t>Platform · Monitoring (penyesuaian IDDS)</t>
  </si>
  <si>
    <t>Dasbor: kartu ringkasan memakai IDDS Card</t>
  </si>
  <si>
    <t>Keterangan kartu memakai kode dan istilah teknis: "Tenant terdaftar", "Status ACTIVE", "Status SUSPENDED".</t>
  </si>
  <si>
    <t>Empat kartu ringkasan (Total PPAT, PPAT Aktif, PPAT Ditangguhkan, Total Pengguna) memakai IDDS Card dengan ikon garis. Keterangan kartu memakai bahasa biasa: "Kantor PPAT terdaftar", "Berstatus aktif", "Berstatus ditangguhkan", dan "Di semua kantor PPAT". Kartu PPAT Baru (30 hari) menyebut periode hitungnya.</t>
  </si>
  <si>
    <t>dev-app.eppat.id/platform › Monitoring (Dasbor, Daftar PPAT, Paket Langganan, Log Aktivitas)</t>
  </si>
  <si>
    <t>Empat kartu ringkasan Dasbor memakai IDDS Card dengan keterangan berbahasa Indonesia, tanpa kode seperti "ACTIVE" atau "SUSPENDED".</t>
  </si>
  <si>
    <t>Halaman Daftar PPAT dan Paket Langganan hanya dapat dibaca di live; pengelolaannya lewat aplikasi Onboarding.</t>
  </si>
  <si>
    <t>IDDS-PL-12</t>
  </si>
  <si>
    <t>Dasbor: status sistem dengan waktu pemeriksaan</t>
  </si>
  <si>
    <t>Status hanya diperiksa sekali saat halaman dibuka, tanpa waktu pemeriksaan dan tanpa cara memeriksa ulang. Status buruk berlabel "Degraded".</t>
  </si>
  <si>
    <t>Kartu Status Sistem menampilkan hasil dengan ikon dan teks ("Sehat" atau "Terganggu"), komponen yang diperiksa ("Basis data &amp; Redis"), dan waktu pemeriksaan terakhir. Tombol "Periksa Ulang" menjalankan pemeriksaan lagi dan menampilkan "Memeriksa…" selama berjalan. Perubahan status diumumkan ke pembaca layar (aria-live).</t>
  </si>
  <si>
    <t>Kartu Status Sistem menampilkan hasil, komponen yang diperiksa, dan waktu pemeriksaan terakhir, serta dapat diperiksa ulang dengan tombol "Periksa Ulang".</t>
  </si>
  <si>
    <t>IDDS-PL-13</t>
  </si>
  <si>
    <t>Dasbor: aktivitas dan PPAT teramai dapat ditindaklanjuti</t>
  </si>
  <si>
    <t>Aktivitas tampil sebagai kode sistem (LOGIN, DRAFT_DOWNLOAD, TOKEN_REFRESH). Aktivitas gagal dan berhasil hanya dibedakan dengan warna titik. Daftar "Top by user" tidak dapat diklik.</t>
  </si>
  <si>
    <t>Aktivitas lintas-PPAT memakai nama aktivitas yang sama dengan Log Aktivitas (misalnya "Masuk", "Unduh dokumen akta"). Aktivitas gagal diberi IDDS Badge "Gagal", bukan hanya titik merah. Kantor PPAT ditampilkan dengan IDDS Badge berisi alamatnya. Tombol "Lihat Semua" membuka Log Aktivitas. Setiap kantor di "PPAT teramai" dapat diklik untuk membuka Daftar PPAT dengan pencarian kantor tersebut.</t>
  </si>
  <si>
    <t>Aktivitas lintas-PPAT tampil dengan nama aktivitas yang mudah dibaca, aktivitas gagal berlencana "Gagal", dan setiap kantor di "PPAT teramai" membuka Daftar PPAT.</t>
  </si>
  <si>
    <t>IDDS-PL-14</t>
  </si>
  <si>
    <t>Daftar PPAT: subjudul yang tepat dan rujukan ke aplikasi Onboarding</t>
  </si>
  <si>
    <t>Subjudul berbunyi "Kelola kantor PPAT (tenant)", padahal halaman hanya dapat dibaca. Paragraf di bawahnya merujuk "server onboarding" tanpa tautan.</t>
  </si>
  <si>
    <t>Subjudul menyebut apa yang benar-benar dapat dilakukan: "Lihat dan cari kantor PPAT yang terdaftar di E-PPAT." Judul ganda dihapus. IDDS Alert menjelaskan bahwa kantor PPAT baru, perubahan paket, dan admin kantor diatur di aplikasi Onboarding (konsol operator). Alert itu memuat tombol "Buka Onboarding" dan tautan ke Pengaturan Global, tempat alamat Onboarding diatur.</t>
  </si>
  <si>
    <t>Subjudul Daftar PPAT tidak menjanjikan pengelolaan, dan halaman menyediakan tombol "Buka Onboarding".</t>
  </si>
  <si>
    <t>IDDS-PL-15</t>
  </si>
  <si>
    <t>Daftar PPAT: tabel, lencana, pencarian, dan halaman IDDS</t>
  </si>
  <si>
    <t>Paket tampil sebagai kode mentah ("ENTERPRISE", "FREE"). Ejaan "Kadaluarsa" tidak baku. Navigasi "‹ Sebelumnya · Hal 1/51 · Berikutnya ›" berupa tombol polos.</t>
  </si>
  <si>
    <t>Tabel memakai IDDS Table. Nama kantor ditulis tebal dengan alamat /t/… di bawahnya. Lencana dibuat konsisten: Paket memakai nama paket ("Enterprise", "Gratis"), Status memakai "Aktif" (hijau) dan "Ditangguhkan" (kuning), dan Registrasi memakai "Dibuka" (hijau) dan "Ditutup" (abu-abu). Masa berlaku yang lewat diberi lencana "Kedaluwarsa". Pencarian memakai IDDS Input Search berlabel "Cari PPAT", dan jumlah kantor yang tampil ada di kanannya. Hasil kosong menawarkan "Hapus Pencarian". Navigasi memakai IDDS Pagination (20 per halaman). Saringan status dan paket tidak ditambahkan karena API live belum menyediakannya.</t>
  </si>
  <si>
    <t>Daftar PPAT memakai IDDS Table, lencana berbahasa Indonesia, IDDS Input Search, dan IDDS Pagination 20 baris per halaman.</t>
  </si>
  <si>
    <t>IDDS-PL-16</t>
  </si>
  <si>
    <t>Paket Langganan: katalog hanya baca dengan lencana yang jelas</t>
  </si>
  <si>
    <t>Subjudul berbunyi "Kelola batas fitur per paket", padahal paket tidak dapat diubah. Registrasi CA berlabel "Mati", sedangkan status paket berlabel "Nonaktif". Singkatan CA tidak dijelaskan.</t>
  </si>
  <si>
    <t>Subjudul menggambarkan isi halaman dengan tepat: "Lihat batas order, pengguna, masa berlaku, dan registrasi CA setiap paket." Judul kolom memakai singkatan baku "Maks. Order" dan "Maks. Pengguna". Keterangan "dikelola di Onboarding" memakai IDDS Alert dengan tombol "Buka Onboarding". Tabel memakai IDDS Table dengan jumlah paket di bawahnya. Kolom Registrasi CA memakai lencana "Aktif"/"Nonaktif" sehingga sepadan dengan kolom Status. Judul kolom Registrasi CA dan nilai "Tanpa batas" diberi tooltip penjelasan.</t>
  </si>
  <si>
    <t>Halaman Paket Langganan hanya dapat dibaca, subjudulnya tidak memuat kata "Kelola", dan kolom Registrasi CA memakai lencana "Aktif"/"Nonaktif".</t>
  </si>
  <si>
    <t>IDDS-PL-17</t>
  </si>
  <si>
    <t>Log Aktivitas: saringan berlabel memakai IDDS Select Dropdown</t>
  </si>
  <si>
    <t>Dua kotak pilihan tidak punya teks awal (kosong). Opsinya berbahasa Inggris ("Login", "Logout", "Refresh token") dan tidak sama dengan isi kolom Aksi.</t>
  </si>
  <si>
    <t>Dua saringan memakai IDDS Select Dropdown dengan label dan nilai awal yang terlihat: PPAT ("Semua PPAT") dan Jenis aktivitas ("Semua aktivitas"). Opsi jenis aktivitas memakai label yang sama dengan kolom Aksi. Jumlah hasil tampil di kanan, dan tombol "Hapus Saringan" muncul bila saringan aktif. Panel dapat dipakai dengan keyboard (panah, Enter, Esc).</t>
  </si>
  <si>
    <t>Kedua saringan Log Aktivitas berlabel, punya nilai awal yang terlihat, dan memakai label aktivitas yang sama dengan kolom Aksi.</t>
  </si>
  <si>
    <t>IDDS-PL-18</t>
  </si>
  <si>
    <t>Log Aktivitas: tabel dan halaman mudah dibaca</t>
  </si>
  <si>
    <t>Waktu ditulis tanpa tahun. Kolom PPAT berisi slug, sedangkan saringan memakai nama. Aksi berupa kode sistem, status berbunyi "Sukses", dan navigasi berupa tombol polos.</t>
  </si>
  <si>
    <t>Tabel memakai IDDS Table. Waktu ditulis lengkap dengan tahun ("26 Okt 2026, 19.06"). Kolom PPAT menampilkan nama kantor dan alamat /t/… (aktivitas admin platform berlabel "Platform"), sehingga sama dengan saringan. Aksi memakai label bahasa Indonesia; status memakai IDDS Badge "Berhasil"/"Gagal". Navigasi memakai IDDS Pagination 20 per halaman.</t>
  </si>
  <si>
    <t>Tabel Log Aktivitas menampilkan waktu lengkap dengan tahun, nama kantor PPAT, aksi berbahasa Indonesia, lencana "Berhasil"/"Gagal", dan IDDS Pagination.</t>
  </si>
  <si>
    <t>IDDS-PL-19</t>
  </si>
  <si>
    <t>Menu Monitoring: istilah dibakukan</t>
  </si>
  <si>
    <t>Istilah bercampur bahasa Inggris, misalnya "Ringkasan &amp; monitoring seluruh PPAT", "Audit aktivitas lintas-PPAT", "Status ACTIVE", "Top by user", dan "Refresh token".</t>
  </si>
  <si>
    <t>Istilah teknis dan bahasa Inggris diganti. Kata "tenant" menjadi "kantor PPAT", "Degraded" menjadi "Terganggu", "Top by user" menjadi "Pengguna terbanyak", "Database" menjadi "Basis data", "Kadaluarsa" menjadi "Kedaluwarsa", "Mati" menjadi "Nonaktif", dan "Sukses" menjadi "Berhasil". Kata "user" menjadi "pengguna" di kartu Total Pengguna, lencana "N pengguna", kolom Maks. Pengguna, label aktivitas Tambah/Ubah/Hapus pengguna, dan Bantuan. Kode aksi LOGIN, LOGOUT, LOGIN_FAILED, TOKEN_REFRESH, PASSWORD_CHANGE, DRAFT_PREVIEW, dan DRAFT_DOWNLOAD menjadi Masuk, Keluar, Gagal masuk, Sesi diperpanjang, Ganti kata sandi, Pratinjau draf, dan Unduh dokumen akta. Subjudul setiap halaman berupa satu kalimat yang menyebut apa yang dapat dilakukan.</t>
  </si>
  <si>
    <t>Menu Monitoring tidak memuat istilah bahasa Inggris atau kode aksi mentah.</t>
  </si>
  <si>
    <t>IDDS-PL-20</t>
  </si>
  <si>
    <t>Bantuan di setiap halaman Monitoring</t>
  </si>
  <si>
    <t>Tidak ada panduan atau kontak dukungan di area platform.</t>
  </si>
  <si>
    <t>Setiap halaman (Dasbor, Daftar PPAT, Paket Langganan, Log Aktivitas) memiliki tombol Bantuan di kanan judul. Tombol ini membuka IDDS Drawer berisi penjelasan isi halaman, langkah, daftar istilah, pertanyaan umum (IDDS Accordion), dan kontak dukungan.</t>
  </si>
  <si>
    <t>Setiap halaman Monitoring punya tombol Bantuan yang isinya khusus untuk halaman tersebut.</t>
  </si>
  <si>
    <t>IDDS-PL-21</t>
  </si>
  <si>
    <t>Platform · Jenis Akta (penyesuaian IDDS)</t>
  </si>
  <si>
    <t>Daftar Jenis Akta: IDDS Table, aksi berlabel, dan subjudul yang jelas</t>
  </si>
  <si>
    <t>Subjudul berbunyi "Katalog layanan PPAT + template &amp; variabel". Tombol Ubah berikon pengaturan. Baris hanya dapat diklik dengan tetikus, dan tombol tidak menyebut nama item.</t>
  </si>
  <si>
    <t>Daftar memakai IDDS Table di dalam kartu dengan IDDS Pagination ("Menampilkan 1–8 dari 8"). Kolom tetap: Kode, Nama Layanan (dengan deskripsi singkat), Urutan, dan Status (IDDS Badge Aktif/Nonaktif). Tombol "Ubah" memakai ikon pensil, bukan ikon pengaturan. Setiap tombol punya nama aksesibel yang menyebut itemnya, misalnya "Ubah Akta Jual Beli" dan "Template &amp; Variabel Akta Jual Beli". Kode di setiap baris berupa tombol sehingga detail dapat dibuka dengan keyboard. Subjudul menjadi kalimat utuh: "Tambah jenis akta, atur statusnya, dan kelola template serta variabelnya." Jenis akta yang baru disimpan disorot sesaat.</t>
  </si>
  <si>
    <t>dev-app.eppat.id/platform › Akta › Jenis Akta (template &amp; variabel)</t>
  </si>
  <si>
    <t>Daftar Jenis Akta memakai IDDS Table dan IDDS Pagination. Setiap tombol aksi punya nama aksesibel yang menyebut itemnya dan dapat dipakai dengan keyboard.</t>
  </si>
  <si>
    <t>IDDS-PL-22</t>
  </si>
  <si>
    <t>Dialog Tambah/Ubah Jenis Akta: pesan galat di bawah isian dan istilah konsisten</t>
  </si>
  <si>
    <t>Pesan galat tampil dalam satu kotak merah, dan tidak ada toast sukses. Dialog dapat tertutup tanpa peringatan. Kode duplikat baru ketahuan dari pesan server.</t>
  </si>
  <si>
    <t>Dialog memakai IDDS Modal dan Text Field. Label terhubung ke isian, dan pesan galat tampil di bawah isian yang salah (aria-invalid + aria-describedby), bukan dalam satu kotak merah. Pesan dibakukan, misalnya "Kode diawali huruf besar, lalu huruf besar, angka, atau garis bawah. Misalnya AJB atau APHT.", "Kode AJB sudah dipakai. Gunakan kode lain.", dan "Urutan harus berupa angka, misalnya 1." Judul dialog menyebut item ("Ubah Jenis Akta — Akta Jual Beli"), dan teks atas judul "Platform · Jenis Akta" dihapus. Setiap simpan diakhiri IDDS Toast. Menutup dialog yang sudah diubah (Batal, ×, Esc, atau klik di luar) meminta konfirmasi "Buang perubahan?".</t>
  </si>
  <si>
    <t>Setiap pesan galat dialog Tambah/Ubah Jenis Akta tampil di bawah isiannya, dan simpan memunculkan IDDS Toast. Dialog yang sudah diubah tidak tertutup tanpa konfirmasi.</t>
  </si>
  <si>
    <t>IDDS-PL-23</t>
  </si>
  <si>
    <t>Jenis Akta: status memakai IDDS Toggle dan konfirmasi saat dinonaktifkan</t>
  </si>
  <si>
    <t>Status berubah langsung saat Simpan tanpa penjelasan dampak. Label memakai istilah "tenant".</t>
  </si>
  <si>
    <t>Kotak centang "Aktif (layanan bisa dipakai tenant)" diganti IDDS Toggle "Aktif" dengan keterangan "Layanan dapat dipilih kantor PPAT saat membuat order." Menonaktifkan jenis akta yang sedang aktif meminta konfirmasi lewat IDDS Modal Confirmation (tombol merah "Nonaktifkan"). Dialog menjelaskan dampaknya bagi kantor PPAT: layanan hilang dari pilihan order baru, order yang sudah ada tidak dihapus, serta template dan variabel tetap tersimpan. Dialog juga menyebut jumlah kantor dan order yang sedang memakainya.</t>
  </si>
  <si>
    <t>Status jenis akta diatur dengan IDDS Toggle, dan menonaktifkan jenis akta yang aktif selalu meminta konfirmasi yang menjelaskan dampaknya.</t>
  </si>
  <si>
    <t>IDDS-PL-24</t>
  </si>
  <si>
    <t>Hapus Jenis Akta: konfirmasi merah dan alasan penolakan ditampilkan lebih dulu</t>
  </si>
  <si>
    <t>Penghapusan dicoba dulu ke server. Pesan galat "Gagal menghapus jenis akta." ditulis di formulir di balik dialog konfirmasi sehingga bisa tidak terlihat.</t>
  </si>
  <si>
    <t>Hapus memakai IDDS Modal Confirmation dengan tombol merah "Hapus Jenis Akta" dan menyebut jumlah variabel yang ikut terhapus. Bila jenis akta masih dipakai order atau masih punya template, tombol hapus tidak ditawarkan. Dialog langsung menjelaskan alasannya lewat IDDS Alert dan menyarankan agar layanan dinonaktifkan.</t>
  </si>
  <si>
    <t>Menghapus jenis akta selalu memunculkan dialog konfirmasi bertombol merah. Jenis akta yang masih dipakai tidak menawarkan tombol hapus dan menampilkan alasannya.</t>
  </si>
  <si>
    <t>IDDS-PL-25</t>
  </si>
  <si>
    <t>Detail Template &amp; Variabel: navigasi jelas, IDDS Tab, dan konfirmasi template utama</t>
  </si>
  <si>
    <t>Breadcrumb tetap "Akta › Jenis Akta". Ikon Kembali berbeda di dua layar. "Jadikan Default" langsung berlaku tanpa konfirmasi dan tanpa umpan balik. Ada jargon "drafting".</t>
  </si>
  <si>
    <t>Breadcrumb menyebut posisi ("Akta › Jenis Akta › Akta Jual Beli") dan dapat diklik. Tombol "Kembali" memakai ikon yang sama di detail dan di Pasal &amp; Catatan. Tab Template/Variabel memakai IDDS Tab yang menyebut jumlah item, dan tabelnya memakai IDDS Table dengan ringkasan jumlah. Kode di kepala detail disertai lencana status. Nama template disertai deskripsi dan jumlah bagiannya. Subjudul: "Atur template dan variabel yang dipakai saat menyusun draf akta ini." Istilah "Default" menjadi "Utama". "Jadikan Utama" meminta konfirmasi yang menyebut template utama saat ini, lalu IDDS Toast mengonfirmasi hasilnya.</t>
  </si>
  <si>
    <t>Breadcrumb detail menyebut nama jenis akta dan dapat diklik, tab memakai IDDS Tab, dan "Jadikan Utama" selalu meminta konfirmasi.</t>
  </si>
  <si>
    <t>IDDS-PL-26</t>
  </si>
  <si>
    <t>Dialog Template: "Salin isi dari", IDDS Toggle Aktif, dan pesan galat di bawah isian</t>
  </si>
  <si>
    <t>Pesan galat "Nama akta minimal 2 karakter." muncul untuk isian Nama Template. Pesan galat tampil dalam kotak merah, tidak ada toast, dan dialog dapat tertutup tanpa peringatan.</t>
  </si>
  <si>
    <t>Dialog Tambah/Ubah Template memakai IDDS Modal dan Text Field. Pilihan "Salin isi dari" otomatis memilih template utama dan punya opsi "— Mulai kosong —". Dialog juga memuat IDDS Toggle "Aktif" dan IDDS Checkbox "Jadikan template utama jenis akta ini". Pesan galat tampil di bawah isian dengan istilah yang benar ("Nama template minimal 2 karakter."). Toast setelah simpan menyebut jumlah bagian yang disalin. Hapus template memakai konfirmasi merah yang menyebut jumlah pasal dan catatan.</t>
  </si>
  <si>
    <t>Dialog Template menyediakan pilihan "Salin isi dari" dan IDDS Toggle "Aktif", dan setiap pesan galat tampil di bawah isiannya.</t>
  </si>
  <si>
    <t>IDDS-PL-27</t>
  </si>
  <si>
    <t>Variabel: penulisan {{kunci}} konsisten di semua tempat</t>
  </si>
  <si>
    <t>Petunjuk menulis {nama_penjual} dengan kurung tunggal, padahal pengecek isi menolak kurung tunggal dan tombol Variabel menyisipkan {{…}}. Pengguna yang mengikuti petunjuk langsung mendapat peringatan.</t>
  </si>
  <si>
    <t>Semua petunjuk, kolom Kunci, pilihan Tipe, keadaan kosong, dan konfirmasi hapus memakai kurung kurawal ganda. Penulisan ini sama dengan hasil tombol "Sisipkan Variabel" dan dengan yang diterima pengecek isi. Contoh petunjuk Kunci: "Ditulis sebagai {{kunci}} di isi pasal, misalnya {{penjual_nama}}." Contoh petunjuk Isi: "Sisipkan variabel lewat tombol Sisipkan Variabel atau tulis {{kunci}}." Di dialog, isian Kunci menampilkan pengapit {{ }}. Nilai Tipe mentah "single/list" menjadi "Tunggal/Daftar", dan isian "Nilai Default" menjadi "Nilai Awal". Contoh kunci mengikuti data live, misalnya {{penjual_nama}}.</t>
  </si>
  <si>
    <t>Semua petunjuk, kolom, dan pesan di layar Jenis Akta menulis variabel sebagai {{kunci}}.</t>
  </si>
  <si>
    <t>IDDS-PL-28</t>
  </si>
  <si>
    <t>Variabel: tombol urutan berlabel dan hapus menunjukkan pasal terdampak</t>
  </si>
  <si>
    <t>Tombol urutan hanya berupa ikon tanpa label. Konfirmasi hapus hanya menulis "Pasal yang memakainya tidak otomatis terupdate" tanpa menunjukkan pasalnya.</t>
  </si>
  <si>
    <t>Tombol naik/turun punya nama aksesibel ("Naikkan Nama Lengkap Penjual", "Turunkan Nama Lengkap Penjual") dan nonaktif di ujung daftar. Perpindahan urutan diumumkan ke pembaca layar. Dialog variabel memakai IDDS Modal dengan pesan galat di bawah isian dan penjaga perubahan. Hapus variabel memakai konfirmasi merah yang mendaftar bagian template yang masih memakai variabel itu, sehingga admin tahu bagian yang perlu diubah.</t>
  </si>
  <si>
    <t>Tombol naik/turun variabel punya nama aksesibel, dan konfirmasi hapus variabel mendaftar bagian template yang memakainya.</t>
  </si>
  <si>
    <t>IDDS-PL-29</t>
  </si>
  <si>
    <t>Pasal &amp; Catatan: pengecek isi, penjaga perubahan, dan status bagian</t>
  </si>
  <si>
    <t>Saran pengecek merujuk "Sisip Variabel", padahal tombolnya berlabel "Variabel". Dialog dapat ditutup dengan Esc atau klik di luar tanpa peringatan. Tidak ada toast sukses. Subjudul berbunyi "Kelola pasal &amp; catatan template akta ini."</t>
  </si>
  <si>
    <t>Subjudul menjadi "Susun pasal dan catatan template ini sesuai urutan di akta." Dialog bagian memakai IDDS Modal, Text Field, dan Checkbox, dan pesan galat Judul serta Nomor tampil di bawah isian. Tombol penyisip berlabel "Sisipkan Variabel" sesuai saran pengecek. Pengecek isi tampil sebagai IDDS Alert peringatan "Ada 1 hal yang perlu dicek sebelum disimpan". Alert memuat saran untuk setiap temuan serta tombol "Perbaiki Dulu" dan "Simpan Saja". Bagian yang masih punya temuan diberi lencana "Perlu dicek" di tabel. Menutup dialog yang sudah diubah meminta konfirmasi. Simpan, hapus (dengan konfirmasi merah), dan ubah urutan selalu diakhiri umpan balik.</t>
  </si>
  <si>
    <t>Pengecek isi Pasal &amp; Catatan tampil sebagai IDDS Alert dengan saran per temuan, dan bagian bertemuan berlencana "Perlu dicek". Dialog yang sudah diubah tidak tertutup tanpa konfirmasi.</t>
  </si>
  <si>
    <t>IDDS-PL-30</t>
  </si>
  <si>
    <t>Bantuan di setiap layar Jenis Akta</t>
  </si>
  <si>
    <t>Tidak ada panduan. Aturan penulisan variabel hanya diketahui dari peringatan pengecek.</t>
  </si>
  <si>
    <t>Daftar Jenis Akta, Template &amp; Variabel, dan Pasal &amp; Catatan memiliki tombol Bantuan di kanan judul. Tombol ini membuka IDDS Drawer berisi penjelasan, langkah, istilah, pertanyaan umum (IDDS Accordion), dan kontak dukungan. Pertanyaan umum menjawab, antara lain, apa itu variabel, cara menyisipkannya, mengapa pengecek menolak kurung tunggal, fungsi urutan, dan dampak status Aktif/Nonaktif bagi kantor PPAT.</t>
  </si>
  <si>
    <t>Daftar Jenis Akta, Template &amp; Variabel, serta Pasal &amp; Catatan punya tombol Bantuan yang isinya khusus untuk layar tersebut.</t>
  </si>
  <si>
    <t>IDDS-PL-31</t>
  </si>
  <si>
    <t>Platform · Sistem (penyesuaian IDDS)</t>
  </si>
  <si>
    <t>Setting Theme: jelas berlaku untuk area platform</t>
  </si>
  <si>
    <t>Komponen sama persis dengan Setting Theme kantor tanpa penanda bahwa yang diatur adalah area platform. Isian "Logo public header" tetap tampil walaupun tidak dipakai. Tidak ada pratinjau halaman Masuk platform, padahal teks "PORTAL PLATFORM" diatur dari sini.</t>
  </si>
  <si>
    <t>Di atas tab tampil IDDS Alert "Tema ini berlaku untuk area platform dan halaman Masuk platform. Tema setiap kantor PPAT diatur di Setting Theme kantor masing-masing." Isian khusus situs publik kantor ("Logo header situs publik") tidak ditampilkan karena platform tidak punya situs publik. Saat sub-tab Komponen › Halaman Masuk dibuka, panel pratinjau menampilkan contoh kartu Masuk platform: teks di atas judul, judul, deskripsi, dan tombol. Teks bawaan halaman Masuk mengikuti IDDS-PL-04.</t>
  </si>
  <si>
    <t>dev-app.eppat.id/platform › Sistem (Setting Theme, Pengaturan Global, Akun Saya)</t>
  </si>
  <si>
    <t>Setting Theme platform menampilkan IDDS Alert bahwa tema berlaku untuk area platform dan tidak menampilkan isian khusus situs publik kantor.</t>
  </si>
  <si>
    <t>Setting Theme memakai komponen yang sama dengan tenant (pola IDDS-TN-19/20/24).</t>
  </si>
  <si>
    <t>IDDS-PL-32</t>
  </si>
  <si>
    <t>Setting Theme: IDDS Tab, pratinjau, dan penjaga perubahan (pola sama dengan IDDS-TN-19)</t>
  </si>
  <si>
    <t>Perubahan langsung diterapkan ke seluruh area platform sebelum disimpan, lalu hilang tanpa peringatan saat pindah menu. Banner sukses/galat tidak dapat ditutup. Label bercampur bahasa Inggris (Preset IDDS, Custom, Hover, Background, Border, Preview, Density, Radius, Eyebrow, Overlay). Semua tab dibungkus kartu "Template Tampilan — Atur brand, warna, sidebar/navbar, konten, logo, dan gaya komponen aplikasi."</t>
  </si>
  <si>
    <t>Markup dan teks sama dengan Setting Theme kantor (IDDS-TN-19). Tab utama dan sub-tab Komponen memakai IDDS Tab; pilihan memakai IDDS Select, Checkbox, dan Radio dengan label bahasa Indonesia. Perubahan tampil di Pratinjau Langsung dan baru berlaku untuk area platform setelah Simpan. Berpindah menu saat ada perubahan memunculkan dialog "Tinggalkan halaman ini?". Tombol Batal meminta konfirmasi, dan hasil simpan memakai IDDS Toast. Kartu pembungkus "Template Tampilan" tidak ditampilkan karena isinya mengulang judul dan subjudul halaman. Tab langsung berada di bawah judul, sama dengan Setting Theme kantor.</t>
  </si>
  <si>
    <t>Perubahan tema platform baru berlaku setelah Simpan, dan berpindah menu saat ada perubahan memunculkan dialog "Tinggalkan halaman ini?".</t>
  </si>
  <si>
    <t>IDDS-PL-33</t>
  </si>
  <si>
    <t>Setting Theme: cek kontras dan pemilih media seragam (pola sama dengan IDDS-TN-20 dan IDDS-TN-24)</t>
  </si>
  <si>
    <t>Warna dapat diisi bebas tanpa cek kontras. Mengedit "Warna Custom" saat mode Preset diam-diam memindahkan mode. Pemilih media Setting Theme tidak punya pencarian.</t>
  </si>
  <si>
    <t>Pasangan warna penting menampilkan IDDS Badge rasio kontras ("6,1 : 1 · Lolos AA" atau "Kurang kontras") sesuai WCAG 2.2 AA. Mengubah warna saat memakai preset memberi tahu bahwa sumber warna berpindah ke Kustom. "Pilih dari Media" membuka IDDS Modal "Pilih Gambar" berisi pencarian, tombol Unggah, dan kisi gambar media platform yang dapat difokus dengan keyboard.</t>
  </si>
  <si>
    <t>Setiap pasangan warna penting menampilkan rasio kontras, dan "Pilih dari Media" membuka IDDS Modal "Pilih Gambar" dengan pencarian.</t>
  </si>
  <si>
    <t>IDDS-PL-34</t>
  </si>
  <si>
    <t>Pengaturan Global: IDDS Tab dan bahasa isian yang konsisten</t>
  </si>
  <si>
    <t>Tab segmented dibuat sendiri. Pilihan status bercampur dalam satu halaman: "Disabled/OCA" (WhatsApp), "Disabled/Active" (Peruri), dan "Nonaktif/Aktif" (Gemini). Label ditulis dengan huruf kapital kecil di tiga tab, tetapi dengan huruf biasa di Umum dan Gemini. Pesan galat muat berbunyi "Gagal memuat pengaturan notifikasi." untuk semua tab.</t>
  </si>
  <si>
    <t>Tab Umum, Email SMTP, WhatsApp OCA, Peruri CA, dan Gemini AI memakai IDDS Tab dengan ikon garis. Setiap tab berupa IDDS Card dengan judul, deskripsi, dan label isian bergaya sama. Pilihan status seragam: "Aktif"/"Nonaktif". Label dibakukan: "Provider" menjadi "Penyedia", "Encryption" menjadi "Enkripsi", "Username" menjadi "Nama pengguna", "From Email/From Name" menjadi "Email pengirim/Nama pengirim", "Bearer Token" menjadi "Token akses (Bearer)", dan "Template Code ID" menjadi "ID templat pesan". Kata "diresolve", "greylisting", dan "tak ganti" diganti kalimat biasa. Keterangan URL onboarding tidak lagi menampilkan pola alamat teknis ({url}/upgrade-to-enterprise?email={email}). Keterangan itu menyebut "kantor paket Gratis" sesuai nama paket di Paket Langganan, bukan "tenant FREE". Urutan isian sama dengan live, termasuk Gemini AI: Status, API key, Model. Pesan galat muat menjadi "Pengaturan platform gagal dimuat.", dan teks muat menjadi "Memuat pengaturan…".</t>
  </si>
  <si>
    <t>Pengaturan Global memakai IDDS Tab, pilihan status seragam "Aktif"/"Nonaktif", dan label isian berbahasa Indonesia.</t>
  </si>
  <si>
    <t>IDDS-PL-35</t>
  </si>
  <si>
    <t>Pengaturan Global: validasi di bawah isian dan contoh alamat yang aman</t>
  </si>
  <si>
    <t>Tidak ada validasi di klien untuk URL, email, port, dan nomor. Nilai bawaan Peruri menunjuk server dev (apgdev.peruri.co.id, esign.peruri.perdananiaga.com) dan contoh email yopmail sehingga berisiko terbawa ke produksi. Tombol Test aktif walaupun tujuan kosong dan tidak menjelaskan bahwa yang diuji adalah konfigurasi tersimpan.</t>
  </si>
  <si>
    <t>Isian diperiksa sebelum disimpan, dan pesannya tampil di bawah isian (aria-invalid). Pemeriksaan mencakup format URL, URL onboarding tanpa garis miring di akhir, format email, port 1–65535, endpoint diawali "/", nomor WhatsApp diawali 62, dan isian wajib saat layanan aktif. Pesan memakai pola yang sama dengan prototipe kantor: "X wajib diisi." dan "Format email tidak valid. Contoh: nama@contoh.id." Alamat server uji (dev, staging, perdananiaga, yopmail) diberi peringatan kuning di bawah isian. Nilai bawaan server uji hanya tampil sebagai contoh di placeholder, bukan sebagai nilai isian. Kirim uji menolak tujuan kosong dan menjelaskan bahwa yang diuji adalah pengaturan tersimpan. Usulan lanjutan berupa tombol Uji Koneksi untuk Peruri CA dan Gemini AI; tombol ini belum ada di live dan tidak dibuat sebagai fitur di prototipe.</t>
  </si>
  <si>
    <t>Isian yang salah di Pengaturan Global ditolak sebelum disimpan dengan pesan di bawah isiannya, dan alamat server uji tidak lagi menjadi nilai isian.</t>
  </si>
  <si>
    <t>IDDS-PL-36</t>
  </si>
  <si>
    <t>Pengaturan Global: rahasia memakai IDDS Password Input</t>
  </si>
  <si>
    <t>Isian kata sandi biasa tanpa tombol tampilkan. Penanda tersimpan berbeda-beda: "Password SMTP sudah tersimpan.", "✓ Key sudah tersimpan.", dan placeholder "•••••• (tersimpan — kosongkan bila tak ganti)".</t>
  </si>
  <si>
    <t>Kata sandi SMTP, Brevo API key, token OCA, API key Peruri, dan API key Gemini memakai IDDS Password Input dengan tombol tampilkan/sembunyikan. Rahasia yang sudah tersimpan tidak pernah ditampilkan. Isiannya kosong dengan placeholder "Tersimpan. Isi hanya bila ingin mengganti." dan pesan hijau "… sudah tersimpan." Saat diisi, pesan berganti menjadi "Nilai baru menggantikan yang tersimpan setelah Anda menyimpan."</t>
  </si>
  <si>
    <t>Semua isian rahasia memakai IDDS Password Input dan tidak pernah menampilkan nilai yang sudah tersimpan.</t>
  </si>
  <si>
    <t>IDDS-PL-37</t>
  </si>
  <si>
    <t>Pengaturan Global: simpan per tab dengan penanda, penjaga, dan konfirmasi berdampak</t>
  </si>
  <si>
    <t>Tidak ada penanda perubahan belum disimpan, dan pindah menu membuang perubahan tanpa peringatan. Mengganti penyedia ke "Disabled" atau mematikan Gemini langsung tersimpan tanpa konfirmasi, padahal berdampak ke OTP, CA, TERA, dan Cek Ejaan di semua kantor.</t>
  </si>
  <si>
    <t>Kaki setiap tab menampilkan jumlah perubahan yang belum disimpan, dan tab itu diberi titik penanda. Batal mengembalikan isian. Pindah tab saat ada perubahan menawarkan "Buang Perubahan" atau "Simpan &amp; Lanjutkan", dan pindah menu memunculkan "Tinggalkan halaman ini?". Tindakan berikut meminta konfirmasi lewat IDDS Modal Confirmation yang menyebut dampaknya ke semua kantor PPAT: mematikan WhatsApp OCA, Peruri CA, atau Gemini AI, mengganti penyedia email, dan mengosongkan URL onboarding. Tombol konfirmasi berwarna merah untuk mematikan layanan dan mengosongkan URL onboarding. Setelah dialog ditutup, fokus kembali ke tombol pemicunya. Hasil simpan memakai IDDS Toast dengan teks live.</t>
  </si>
  <si>
    <t>Setiap tab Pengaturan Global menandai perubahan yang belum disimpan, dan perubahan yang berdampak ke semua kantor PPAT selalu meminta konfirmasi.</t>
  </si>
  <si>
    <t>IDDS-PL-38</t>
  </si>
  <si>
    <t>Akun Saya: tab Akun dengan peran yang konsisten dan pesan galat di bawah isian</t>
  </si>
  <si>
    <t>Lencana peran "Super Admin" (dari is_admin) berbeda dengan "Platform Admin" di menu pengguna. Catatan "(hubungi admin untuk mengubah)" tidak jelas bagi admin platform. Banner sukses hilang sendiri setelah 3 detik tanpa aria-live.</t>
  </si>
  <si>
    <t>Tab memakai IDDS Tab yang sama dengan Akun Saya kantor. Lencana peran berbunyi "Platform Admin", sama dengan menu pengguna di kanan atas. Catatan email menjadi "Hubungi tim E-PPAT untuk mengubah email." Kode akun live (misalnya PLATFORM_ADMIN) ditampilkan sebagai baris "ID akun" dengan keterangan, sama dengan Akun Saya kantor. Formulir Ubah Data memakai IDDS Text Field. Pesan "Nama depan minimal 2 karakter." dan pesan format telepon tampil di bawah isian. Hasil simpan memakai IDDS Toast. Pindah tab atau menu saat ada perubahan menawarkan "Buang Perubahan" atau "Simpan &amp; Lanjutkan".</t>
  </si>
  <si>
    <t>Tab Akun menampilkan peran "Platform Admin" yang sama dengan menu pengguna, dan setiap pesan galat formulir Ubah Data tampil di bawah isiannya.</t>
  </si>
  <si>
    <t>IDDS-PL-39</t>
  </si>
  <si>
    <t>Akun Saya: Keamanan dengan syarat kata sandi 12 karakter dan 2FA terpandu</t>
  </si>
  <si>
    <t>Kartu "Ganti Password" hanya meminta "Minimal 8 karakter" tanpa tombol tampilkan. Padahal, layar Ganti Kata Sandi wajib meminta 12 karakter dan 4 jenis karakter, sehingga admin dapat menurunkan kekuatan kata sandinya. Nonaktifkan 2FA dilakukan lewat panel kuning di dalam kartu. Istilah bercampur bahasa Inggris: Password, device, logout, di-logout, revoke ("Gagal revoke."), secret, Add account, dan TOTP.</t>
  </si>
  <si>
    <t>Ganti kata sandi memakai IDDS Password Input dan daftar centang yang sama dengan layar Ganti Kata Sandi: minimal 12 karakter serta memuat huruf besar, huruf kecil, angka, dan simbol (IDDS-PL-08). Aktivasi 2FA dipandu dua langkah: pindai kode QR (atau salin kode rahasia), lalu ketik kode 6 digit di IDDS One-Time Password. Pesan galat kode tampil di bawah kolom kode. Menonaktifkan 2FA dan mengeluarkan perangkat memakai IDDS Modal Confirmation. Bahasa dibakukan: "Password" menjadi "kata sandi", "device" menjadi "perangkat", "logout/revoke" menjadi "keluarkan", dan "authenticator" menjadi "autentikator".</t>
  </si>
  <si>
    <t>Ganti kata sandi di Akun Saya menolak kata sandi yang kurang dari 12 karakter atau tidak memuat keempat jenis karakter, dan aktivasi 2FA dipandu dua langkah.</t>
  </si>
  <si>
    <t>IDDS-PL-40</t>
  </si>
  <si>
    <t>Bantuan di setiap halaman Sistem dan Akun Saya</t>
  </si>
  <si>
    <t>Tidak ada panduan atau kontak dukungan di halaman Sistem dan Akun Saya platform.</t>
  </si>
  <si>
    <t>Setting Theme, Pengaturan Global, dan Akun Saya memiliki tombol Bantuan di kanan judul yang membuka IDDS Drawer. Bantuan Pengaturan Global mengikuti tab yang sedang dibuka. Isinya menjelaskan SMTP dan Brevo, WhatsApp OCA, Peruri CA, kegunaan Gemini AI, serta dampak perubahan ke semua kantor PPAT. Setiap Bantuan berisi langkah, istilah, pertanyaan umum (IDDS Accordion), dan kontak dukungan yang sama dengan menu Monitoring (IDDS-PL-20). Kontak bergaris putus-putus adalah data contoh. Pola sama dengan IDDS-TN-15 dan IDDS-TN-25.</t>
  </si>
  <si>
    <t>Setting Theme, Pengaturan Global, dan Akun Saya punya tombol Bantuan yang isinya khusus untuk halaman atau tab yang dibuka.</t>
  </si>
  <si>
    <t>IDDS-PL-41</t>
  </si>
  <si>
    <t>Platform · Kerangka menu samping (penyesuaian IDDS)</t>
  </si>
  <si>
    <t>Kerangka: menu samping pola Sidebar IDDS</t>
  </si>
  <si>
    <t>Menu samping gelap ala live dengan label grup berhuruf kapital, tanpa kartu profil pengguna, dan tanpa mode ciut.</t>
  </si>
  <si>
    <t>Kerangka menu samping mengikuti pola Sidebar IDDS dengan warna brand E-PPAT tetap: label grup kecil berhuruf biasa dengan chevron buka/tutup, menu berupa ikon dan label dengan tanda arahkan dan tanda menu aktif, paling banyak dua tingkat (grup lalu menu), dan kartu profil pengguna (inisial, nama, peran) di bagian bawah dengan versi aplikasi di bawahnya. Tombol di samping logo menciutkan menu menjadi ikon saja; nama menu tampil sebagai tooltip dan tetap dibacakan pembaca layar. Pilihan ciut diingat peramban. Di layar sempit menu tetap berupa laci. Kartu profil membuka menu akun yang sama dengan kepala halaman. Berlaku di Monitoring, Jenis Akta, dan Sistem.</t>
  </si>
  <si>
    <t>dev-app.eppat.id/platform › menu samping</t>
  </si>
  <si>
    <t>Menu samping Platform memakai struktur pola Sidebar IDDS: label grup huruf biasa rata kiri, kartu profil pengguna di bawah, dan mode ciut berikon saja dengan tooltip. Warna tetap brand E-PPAT dan lulus uji kontras.</t>
  </si>
  <si>
    <t>Struktur sama dengan menu samping tenant (IDDS-TN-40) dan Onboarding (IDDS-OB-11).</t>
  </si>
  <si>
    <t>Penyesuaian IDDS · Onboarding (calon PPAT dan staf Onboarding)</t>
  </si>
  <si>
    <t>Halaman dev.eppat.id yang tidak dinilai HE (Beranda, kata sandi, profil, menu Admin/Operator, dan simulasi pembayaran). Komponen disesuaikan dengan IDDS, serta letak pesan dan bahasa dibakukan.</t>
  </si>
  <si>
    <t>IDDS-OB-01</t>
  </si>
  <si>
    <t>Onboarding · Beranda, Kata Sandi &amp; Profil (penyesuaian IDDS)</t>
  </si>
  <si>
    <t>Beranda: navigasi lengkap, tombol Masuk dan Daftar, serta menu ponsel</t>
  </si>
  <si>
    <t>Navigasi Beranda hanya memiliki tombol "Login". Halaman pendaftaran hanya dapat dibuka dari halaman masuk lewat tautan "Register sekarang". Bagian pembuka "Selamat Datang di EPPAT" tidak memiliki tombol tindakan.</t>
  </si>
  <si>
    <t>Bilah navigasi Beranda memakai label yang sama dengan layar Masuk dan Registrasi, yaitu "Masuk" dan "Daftar". Kedua tombol itu membuka halaman Masuk dan Registrasi. Menu Beranda, Tentang e-PPAT, Fitur, Cara Kerja, dan Berita menggulir ke bagian terkait dan memindahkan fokus ke judul bagian. Di layar sempit, tombol "Menu" membuka daftar menu beserta tombol Masuk dan Daftar. Bagian pembuka diberi tombol "Daftar Sekarang" dan "Masuk" agar pengunjung tahu langkah berikutnya.</t>
  </si>
  <si>
    <t>dev.eppat.id › Beranda; /forgot-password; /reset-password; Profil</t>
  </si>
  <si>
    <t>Beranda menampilkan tombol "Masuk" dan "Daftar" di bilah navigasi dan di bagian pembuka. Setiap menu menggulir ke bagiannya dan memindahkan fokus ke judul bagian, dan di layar sempit tombol "Menu" membuka daftar menu.</t>
  </si>
  <si>
    <t>IDDS-OB-02</t>
  </si>
  <si>
    <t>Beranda: isi memakai IDDS Card, Cara Kerja sesuai keadaan, dan Berita dapat dibuka</t>
  </si>
  <si>
    <t>Bagian Cara Kerja berisi bingkai video bertuliskan "Cinematic Experience Coming Soon". Judul berita terpotong, berhuruf kapital, dan tanpa tanggal ("KEMENTERIAN ATR/BPN RESPON..", "PP IPPAT SUKSES GELAR SEMNAS"). Ringkasan berita juga terpotong ("akarta – Pengurus Pusat Ikatan Pejabat Pembuat Akta..."). Singkatan jenis akta tidak dijelaskan.</t>
  </si>
  <si>
    <t>Jenis akta, keunggulan layanan, dan sembilan fitur memakai IDDS Card dengan ikon garis satu warna. Singkatan APHB, APHT, dan SKMHT diberi IDDS Tooltip berisi kepanjangannya. Bagian Cara Kerja tidak lagi berupa bingkai video kosong. Isinya lima langkah dari pendaftaran sampai aplikasi kantor aktif (sama dengan alur di layar Registrasi), keterangan bahwa video sedang disiapkan, dan tombol "Daftar Sekarang". Kartu Berita menampilkan judul utuh, tanggal, ringkasan, dan tombol "Baca Berita". Label tombol itu menyebut judul berita untuk pembaca layar.</t>
  </si>
  <si>
    <t>Kartu di Beranda memakai IDDS Card, singkatan APHB, APHT, dan SKMHT memiliki IDDS Tooltip, dan Cara Kerja menampilkan lima langkah tanpa bingkai video kosong. Setiap kartu Berita menampilkan judul utuh, tanggal, ringkasan, dan tombol "Baca Berita" yang label aksesibelnya menyebut judul berita.</t>
  </si>
  <si>
    <t>IDDS-OB-03</t>
  </si>
  <si>
    <t>Beranda dan Profil Saya: bahasa dan ejaan baku</t>
  </si>
  <si>
    <t>Nama aplikasi ditulis berganti-ganti ("EPPAT", "ePPAT", "e-PPAT"). Ada salah ketik "elektonik", "efiesien", "dukuan", "kementrian", "fleksible", "elektornik", "dafting", "e-Materai", "SKHMT", dan "akarta". Label masih berbahasa Inggris: "Login", "Register", "Reset Kata Sandi", "Home", "Dashboard", "Profile", "Password", "Customer", "NAVIGATION", "Contact Account / Code", "Contact Type", "Active", "Action", "Phone", dan "No contacts yet.".</t>
  </si>
  <si>
    <t>Nama aplikasi ditulis seragam "e-PPAT", sama dengan judul "Masuk ke e-PPAT". Salah ketik diperbaiki menjadi elektronik, efisien, dukungan, Kementerian, fleksibel, familier, drafting, e-Meterai, SKMHT, dan Jakarta. Kalimat panjang dipecah. Label Inggris diganti: Login → Masuk, Register → Daftar, Reset Kata Sandi → Atur Ulang Kata Sandi, Home → Beranda, Dashboard → Dasbor (menu samping Profil Saya), Profile → Profil Saya, Password → Kata Sandi, Customer → Pelanggan, dan NAVIGATION → Navigasi. Kolom Contact Account / Code, Contact Type, Active, dan Action menjadi Akun / Nomor, Jenis Kontak, Status, dan Aksi. Phone menjadi Telepon, "No contacts yet." menjadi "Belum ada kontak.", dan "online" menjadi "daring".</t>
  </si>
  <si>
    <t>Beranda, Lupa Kata Sandi, Atur Ulang Kata Sandi, dan Profil Saya tidak lagi memuat salah ketik maupun label Inggris yang tercantum di kondisi saat ini. Nama aplikasi ditulis "e-PPAT" di semua layar tersebut.</t>
  </si>
  <si>
    <t>IDDS-OB-04</t>
  </si>
  <si>
    <t>Lupa Kata Sandi: pesan galat di bawah isian dan konfirmasi terkirim yang jelas</t>
  </si>
  <si>
    <t>Kartu berisi isian Email dan tombol "Kirim Tautan Reset". Setelah tautan dikirim, muncul pesan "Terkirim!" yang meminta pengguna memeriksa kotak masuk email. Pesan itu tidak menyebut email tujuan, masa berlaku tautan, atau cara mengirim ulang.</t>
  </si>
  <si>
    <t>Email yang kosong atau salah format ditandai dengan pesan galat di bawah isian ("Email wajib diisi.", "Format email tidak valid. Contoh: nama@contoh.id") dan atribut aria-invalid. Tombol "Kirim Tautan Atur Ulang" menampilkan status memuat. Setelah tautan terkirim, kartu berganti menjadi "Cek Email Anda". Kartu ini memuat email tujuan yang disamarkan, masa berlaku tautan, dan saran memeriksa folder spam. Kartu juga memuat tombol "Kirim Ulang Tautan" yang aktif setelah hitung mundur 60 detik, "Ganti Email", dan "Kembali ke Halaman Masuk". Demi keamanan akun, pesan tidak menyebut apakah email terdaftar.</t>
  </si>
  <si>
    <t>Email kosong atau salah format menampilkan pesan galat di bawah isian. Setelah dikirim, kartu "Cek Email Anda" menampilkan email tersamar, masa berlaku tautan, dan tombol "Kirim Ulang Tautan" yang baru aktif setelah 60 detik.</t>
  </si>
  <si>
    <t>IDDS-OB-05</t>
  </si>
  <si>
    <t>Atur Ulang Kata Sandi: daftar syarat kata sandi seperti Registrasi</t>
  </si>
  <si>
    <t>Di bawah isian Kata Sandi Baru hanya ada bilah kekuatan berlabel "Kuat" dan teks "Gunakan kombinasi huruf, angka &amp; simbol". Syarat yang belum terpenuhi tidak ditampilkan.</t>
  </si>
  <si>
    <t>Syarat kata sandi tampil sebagai daftar centang yang terisi saat pengguna mengetik, sama dengan layar Registrasi: minimal 12 karakter, huruf besar, huruf kecil, angka, dan simbol. Isian "Ulangi Kata Sandi Baru" langsung memberi tahu apakah isinya sudah sama. Pesan galat tampil di bawah isian (aria-invalid). Kartu menyebut akun yang kata sandinya diatur ulang dengan email yang disamarkan. Isian memakai IDDS Password Input dengan tombol tampilkan/sembunyikan berlabel.</t>
  </si>
  <si>
    <t>Setiap syarat kata sandi (12 karakter, huruf besar, huruf kecil, angka, simbol) tercentang begitu terpenuhi saat mengetik. Isian ulangan langsung menunjukkan sama atau tidak, dan tombol tampilkan/sembunyikan memiliki label.</t>
  </si>
  <si>
    <t>IDDS-OB-06</t>
  </si>
  <si>
    <t>Atur Ulang Kata Sandi: tautan kedaluwarsa dan konfirmasi berhasil</t>
  </si>
  <si>
    <t>Setelah "Simpan Kata Sandi" ditekan, muncul pesan "Berhasil!" lalu halaman Masuk langsung terbuka. Keadaan tautan kedaluwarsa tidak terlihat di panduan maupun di tangkapan layar live.</t>
  </si>
  <si>
    <t>Tautan yang kedaluwarsa atau sudah dipakai membuka kartu "Tautan Sudah Kedaluwarsa". Kartu ini menjelaskan masa berlaku tautan dan menyediakan tombol "Minta Tautan Baru" ke halaman Lupa Kata Sandi. Setelah kata sandi disimpan, kartu "Kata Sandi Berhasil Diubah" tetap tampil sampai pengguna memilih "Masuk Sekarang". Pola ini sama dengan "Verifikasi Berhasil!" di layar Registrasi. Meninggalkan formulir yang sudah diisi memunculkan dialog "Tinggalkan halaman ini?".</t>
  </si>
  <si>
    <t>Tautan kedaluwarsa atau sudah dipakai membuka kartu "Tautan Sudah Kedaluwarsa" bertombol "Minta Tautan Baru". Setelah disimpan, kartu "Kata Sandi Berhasil Diubah" tetap tampil sampai pengguna menekan "Masuk Sekarang".</t>
  </si>
  <si>
    <t>IDDS-OB-07</t>
  </si>
  <si>
    <t>Profil Saya: IDDS Tab, foto, pesan galat di bawah isian, dan penjaga perubahan</t>
  </si>
  <si>
    <t>Tab dibuat sendiri di atas pita hijau. Tidak ada penanda perubahan yang belum disimpan. Tab PPAT hanya memiliki tombol "Simpan PPAT". Isian Kode, ID PPAT / Kode Kantor, dan URL Web tampil abu-abu tanpa keterangan.</t>
  </si>
  <si>
    <t>Tab PPAT, Kantor PPAT, dan Kata Sandi memakai IDDS Tab yang dapat dipindah dengan tombol panah. Foto Profil dan Logo Kantor berupa tombol berlabel (misalnya "Ubah foto profil") dengan keterangan format dan ukuran berkas di bawahnya. Berkas yang tidak sesuai ditolak dengan pesan di bawah gambar. Isian wajib bertanda *, dan pesan galat tampil di bawah isian (aria-invalid). Kaki setiap tab menampilkan "Belum disimpan" atau "Belum ada perubahan", dan tab yang berubah diberi titik penanda. Tab PPAT diberi tombol Batal seperti tab lain, dan Batal meminta konfirmasi. Pindah tab saat ada perubahan menawarkan "Buang Perubahan", sedangkan pindah halaman memunculkan "Tinggalkan halaman ini?". Isian Kode, ID PPAT, dan URL Web yang terkunci diberi keterangan.</t>
  </si>
  <si>
    <t>Tab Profil Saya dapat dipindah dengan tombol panah, dan berkas foto yang tidak sesuai ditolak dengan pesan di bawah gambar. Perubahan yang belum disimpan ditandai di kaki tab dan di tab, lalu pindah tab atau halaman selalu meminta konfirmasi.</t>
  </si>
  <si>
    <t>IDDS-OB-08</t>
  </si>
  <si>
    <t>Profil Saya: tabel Info Kontak dan dialog Tambah/Ubah Kontak</t>
  </si>
  <si>
    <t>Tabel memakai kolom "No.", "Contact Account / Code", "Contact Type", "Active", dan "Action", dengan jenis kontak "Email"/"Phone". Tabel kosong bertuliskan "No contacts yet.". Sakelar Active tidak menampilkan teks status, dan ikon pensil tidak berlabel.</t>
  </si>
  <si>
    <t>Tabel Info Kontak memakai IDDS Table berlabel Indonesia. Kolom Status memakai IDDS Toggle bertulisan "Aktif"/"Nonaktif" dengan aria-label yang menyebut kontaknya. Menonaktifkan kontak meminta konfirmasi dengan tombol merah. Tombol ubah berupa ikon pensil berlabel "Ubah kontak …". Dialog Tambah Kontak Baru dan Ubah Kontak memakai IDDS Modal. Pilihan Jenis Kontak (Email/Telepon) mengubah contoh dan aturan isian Akun / Nomor. Format salah dan kontak ganda ditolak dengan pesan di bawah isian tanpa menutup dialog. Setelah dialog ditutup, fokus kembali ke tombol pemicunya.</t>
  </si>
  <si>
    <t>Tabel Info Kontak berlabel Indonesia, sakelar status bertulisan "Aktif"/"Nonaktif", dan menonaktifkan kontak meminta konfirmasi. Dialog kontak menolak format salah dan kontak ganda dengan pesan di bawah isian, lalu mengembalikan fokus ke tombol pemicu saat ditutup.</t>
  </si>
  <si>
    <t>IDDS-OB-09</t>
  </si>
  <si>
    <t>Profil Saya: tab Kata Sandi dan MFA dengan syarat seragam dan konfirmasi tindakan berdampak</t>
  </si>
  <si>
    <t>Tab berlabel "Password". Di bawah isian Kata Sandi Baru hanya tertulis "Min. 12 karakter · Huruf besar, kecil, angka &amp; simbol" dengan bilah kekuatan. Keterangan "Reset akan menghapus MFA pengguna ini; ia wajib mendaftar ulang …" ditulis untuk admin, bukan untuk pemilik akun.</t>
  </si>
  <si>
    <t>Tab Kata Sandi memakai IDDS Password Input dan daftar centang syarat yang sama dengan Registrasi dan Atur Ulang Kata Sandi. Kata sandi saat ini yang salah, kata sandi baru yang sama dengan yang lama, dan konfirmasi yang belum sama dijelaskan di bawah isian. Tombol "Buat Ulang Kode Cadangan" dan "Atur Ulang MFA" meminta konfirmasi lewat IDDS Modal Confirmation bertombol merah yang menyebut dampaknya. Kode cadangan baru ditampilkan sekali dengan tombol Salin dan Unduh. Status MFA memakai IDDS Badge, dan keterangan Atur Ulang MFA ditujukan kepada pemilik akun.</t>
  </si>
  <si>
    <t>Tab Kata Sandi menolak kata sandi saat ini yang salah, kata sandi baru yang sama dengan yang lama, dan konfirmasi yang tidak sama dengan pesan di bawah isian. "Buat Ulang Kode Cadangan" dan "Reset MFA" selalu memunculkan dialog konfirmasi bertombol merah.</t>
  </si>
  <si>
    <t>IDDS-OB-10</t>
  </si>
  <si>
    <t>Beranda, Lupa Kata Sandi, Atur Ulang, dan Profil Saya: Bantuan khusus layar</t>
  </si>
  <si>
    <t>Halaman Lupa Kata Sandi, Reset Kata Sandi, dan Profile tidak memiliki panduan atau kontak dukungan.</t>
  </si>
  <si>
    <t>Beranda (di bawah tombol "Daftar Sekarang" dan "Masuk"), kartu Lupa Kata Sandi, Atur Ulang Kata Sandi, dan Kata Sandi Berhasil Diubah memiliki tautan "Butuh bantuan?". Tautan ini sama dengan layar Registrasi dan Masuk (HE-UMUM-02). Profil Saya memiliki tombol Bantuan di kanan judul. Semuanya membuka IDDS Drawer khusus layar berisi penjelasan, langkah, istilah, pertanyaan umum (IDDS Accordion), dan kontak dukungan (data contoh bergaris putus-putus). Bantuan Beranda menjelaskan apa itu e-PPAT, cara mendaftar, siapa yang dapat mendaftar, serta paket dan biaya. Bantuan Kata Sandi Berhasil Diubah menjelaskan langkah masuk dan tindakan bila pengguna lupa kata sandi lagi.</t>
  </si>
  <si>
    <t>Setiap layar tersebut memiliki tautan "Butuh bantuan?" atau tombol Bantuan yang membuka IDDS Drawer berisi isi khusus layar itu. Drawer memuat penjelasan, langkah, istilah, pertanyaan umum, dan kontak dukungan.</t>
  </si>
  <si>
    <t>IDDS-OB-11</t>
  </si>
  <si>
    <t>Onboarding · Monitoring (penyesuaian IDDS)</t>
  </si>
  <si>
    <t>Kerangka staf: menu samping pola Sidebar IDDS, remah, dan menu akun berbahasa Indonesia</t>
  </si>
  <si>
    <t>Menu samping gelap ala live dengan label grup berhuruf kapital, tanpa kartu profil pengguna, dan tanpa mode ciut. Menu bertingkat tiga (grup, menu induk, submenu). Menu samping memakai grup "NAVIGATION" dan "PENGATURAN" serta menu "Dashboard". Remah berbunyi "Home › Dashboard", dan avatar menampilkan "SYSADMIN · Admin".</t>
  </si>
  <si>
    <t>Grup menu "NAVIGATION" menjadi "Utama", menu "Dashboard" menjadi "Dasbor", dan remah "Home" menjadi "Beranda" (IDDS Breadcrumb). Urutan menu tetap seperti live. Menu bertingkat live (Verifikasi, Menu, Daftar Pengguna, Peran Pengguna) tampil sebagai grup tersendiri agar menu cukup dua tingkat; tombol grup memakai aria-expanded. Ikon menu berupa ikon garis satu warna. Kerangka menu samping mengikuti pola Sidebar IDDS dengan warna brand E-PPAT tetap: label grup kecil berhuruf biasa dengan chevron buka/tutup, menu berupa ikon dan label dengan tanda arahkan dan tanda menu aktif, paling banyak dua tingkat (grup lalu menu), dan kartu profil pengguna (inisial, nama, peran) di bagian bawah dengan versi aplikasi di bawahnya. Tombol di samping logo menciutkan menu menjadi ikon saja; nama menu tampil sebagai tooltip dan tetap dibacakan pembaca layar. Pilihan ciut diingat peramban. Di layar sempit menu tetap berupa laci. Berlaku juga di aplikasi pelanggan (Dasbor, Riwayat Transaksi). Menu akun memakai IDDS Action Dropdown dengan kepala nama dan peran ("Admin Contoh · Admin") serta pilihan "Keluar". Menu akun dapat dipakai dengan papan ketik (panah dan Esc).</t>
  </si>
  <si>
    <t>dev.eppat.id › Dashboard; Manajemen Onboarding</t>
  </si>
  <si>
    <t>Menu samping menampilkan grup "Utama" dan menu "Dasbor", remah diawali "Beranda", dan menu bertingkat mengumumkan keadaan buka/tutup lewat aria-expanded. Menu akun dapat dibuka, dipilih dengan panah, dan ditutup dengan Esc.</t>
  </si>
  <si>
    <t>IDDS-OB-12</t>
  </si>
  <si>
    <t>Dasbor: judul, subjudul sesuai isi, dan kartu ringkasan IDDS Card</t>
  </si>
  <si>
    <t>Judul berbunyi "Dashboard Admin" dengan subjudul "Selamat datang kembali, SYSADMIN. Berikut ringkasan aktivitas sistem hari ini.", padahal angka kartu adalah jumlah keseluruhan, bukan hari ini. Tautan "Detail" tidak menyebut tujuan. Keterangan kartu berbunyi "Status pending verifikasi" dan "Total invoice pembayaran".</t>
  </si>
  <si>
    <t>Halaman berjudul "Dasbor Admin" dengan subjudul satu kalimat yang sesuai isi: "Pantau ringkasan pendaftaran, verifikasi, dan pembayaran calon PPAT." Empat kartu ringkasan memakai IDDS Card dengan ikon garis. Tautan "Lihat Detail" di setiap kartu membuka menu terkait. Untuk pembaca layar, tautan itu menyebut tujuannya, misalnya "Lihat detail Perlu Verifikasi Anggota di Verifikasi Anggota". Keterangan kartu memakai bahasa sehari-hari: "Menunggu verifikasi anggota" dan "Semua tagihan pembayaran".</t>
  </si>
  <si>
    <t>Dasbor berjudul "Dasbor Admin" dengan subjudul yang tidak menyebut "hari ini". Keempat kartu memakai IDDS Card, dan setiap tautan "Lihat Detail" membuka menu terkait dengan label aksesibel yang menyebut tujuannya.</t>
  </si>
  <si>
    <t>IDDS-OB-13</t>
  </si>
  <si>
    <t>Dasbor: tiga daftar terbaru dengan lencana berbahasa Indonesia</t>
  </si>
  <si>
    <t>Lencana berisi kode mentah "Pending", "PAID", "UNPAID", "APPROVED", "TRIAL", dan "ENTERPRISE". Nominal ditulis dengan spasi ("Rp 1").</t>
  </si>
  <si>
    <t>Daftar Pendaftaran Terbaru, Transaksi Terbaru, dan Pemilihan Produk Terbaru memakai IDDS Badge berlabel Indonesia. Lencananya adalah "Menunggu" (kuning), "Lunas" dan "Disetujui" (hijau), "Belum Dibayar" (kuning), serta paket "Trial" dan "Enterprise". Nominal ditulis "Rp3.500.000" tanpa spasi. Tombol "Lihat Semua" menyebut daftar tujuannya untuk pembaca layar. Tombol itu membuka Manajemen Onboarding, Verifikasi Pembayaran, atau Verifikasi Produk.</t>
  </si>
  <si>
    <t>Ketiga daftar terbaru tidak lagi menampilkan kode mentah, dan semua lencana memakai label Indonesia dengan warna sesuai status. Nominal tampil tanpa spasi ("Rp3.500.000"), dan setiap "Lihat Semua" membuka menu tujuannya.</t>
  </si>
  <si>
    <t>IDDS-OB-14</t>
  </si>
  <si>
    <t>Manajemen Onboarding: subjudul sesuai isi dan pencarian berlabel</t>
  </si>
  <si>
    <t>Subjudul berbunyi "Kelola pendaftaran user baru, verifikasi pembayaran, dan monitor registrasi.", padahal verifikasi pembayaran ada di menu lain. Kotak cari hanya berisi teks contoh "Cari nama, email, ID PPAT..." tanpa label.</t>
  </si>
  <si>
    <t>Subjudul menyebut tindakan yang benar-benar dapat dilakukan di halaman ini: "Pantau tahap pendaftaran setiap calon PPAT, dari pendaftaran sampai selesai." Pencarian memakai IDDS Input Search dengan label "Cari pendaftar" yang terlihat. Hasil tersaring langsung, dan jumlah pendaftar yang tampil diumumkan di kanan (aria-live).</t>
  </si>
  <si>
    <t>Subjudul Manajemen Onboarding tidak lagi menyebut verifikasi pembayaran. Kotak cari memiliki label "Cari pendaftar" yang terlihat, dan jumlah hasil diperbarui serta diumumkan setiap kali kata kunci berubah.</t>
  </si>
  <si>
    <t>IDDS-OB-15</t>
  </si>
  <si>
    <t>Manajemen Onboarding: saringan tahap memakai IDDS Chip</t>
  </si>
  <si>
    <t>Saringan tahap berupa pil bergaya khusus tanpa jumlah hasil. Tahap tanpa pendaftar hanya menampilkan tabel kosong.</t>
  </si>
  <si>
    <t>Sepuluh saringan tahap (Semua, Pendaftaran … Selesai) memakai IDDS Chip dalam grup berlabel "Saring menurut tahap". Chip terpilih ditandai aria-pressed sehingga dibacakan "ditekan". Chip dapat dipilih dengan Tab lalu Enter atau Spasi, dan dapat digabung dengan pencarian. Bila tidak ada pendaftar di suatu tahap, tabel menampilkan "Belum ada pendaftar di tahap …" dengan tombol "Tampilkan Semua".</t>
  </si>
  <si>
    <t>Kesepuluh saringan tahap dapat dipilih dengan papan ketik dan menandai pilihan dengan aria-pressed. Tahap tanpa pendaftar menampilkan pesan "Belum ada pendaftar di tahap …" dan tombol "Tampilkan Semua".</t>
  </si>
  <si>
    <t>IDDS-OB-16</t>
  </si>
  <si>
    <t>Manajemen Onboarding: tabel, lencana tahap, dan aksi yang jelas</t>
  </si>
  <si>
    <t>Lencana "Belum ada status" berwarna kuning, sama dengan "Pendaftaran". Nilai kosong ditulis "-". Tombol "Detail" tidak menyebut nama pendaftar, dan teks paginasi berbunyi "Menampilkan 1–10 dari total 760".</t>
  </si>
  <si>
    <t>Tabel memakai IDDS Table dengan kolom tetap: No, ID PPAT, Nama Pengguna, URL, Kontak, Status, dan Aksi. Warna lencana tahap konsisten: "Pendaftaran" kuning, tahap proses biru, "Lunas" dan "Selesai" hijau, serta "Belum ada status" abu-abu. Nilai kosong ditulis "Belum ada", bukan "-". Tombol aksi "Lihat Detail" menyebut nama pendaftar (aria-label). Navigasi memakai IDDS Pagination 10 baris per halaman dengan teks "Menampilkan 1–10 dari 46". Pencarian tanpa hasil menawarkan tombol "Hapus Pencarian".</t>
  </si>
  <si>
    <t>Lencana "Belum ada status" berwarna abu-abu dan berbeda dari "Pendaftaran", dan tidak ada sel bernilai "-". Tombol "Lihat Detail" menyebut nama pendaftar, dan paginasi menampilkan 10 baris per halaman dengan teks "Menampilkan 1–10 dari …".</t>
  </si>
  <si>
    <t>IDDS-OB-17</t>
  </si>
  <si>
    <t>Detail Pendaftar: halaman detail dengan IDDS Stepper sembilan tahap</t>
  </si>
  <si>
    <t>Detail tampil di modal "Detail Riwayat" berisi "Timeline Status". Semua tahap yang belum selesai berlabel "Menunggu...", sehingga tahap yang sedang berjalan tidak terlihat. Tanggal tidak memuat tahun ("26 Okt, 16.44").</t>
  </si>
  <si>
    <t>Detail dibuka sebagai halaman (Beranda › Manajemen Onboarding › Detail Pendaftar) dengan tombol "Kembali ke Manajemen Onboarding". Tombol ini mengembalikan saringan dan halaman tabel sebelumnya. Ringkasan memuat data yang sama dengan baris tabel (ID PPAT, URL, kontak, status). Riwayat tahap memakai IDDS Stepper. Tahap selesai bercentang dengan tanggal lengkap ("26 Okt 2026, 16.44"), tahap berikutnya bertanda "Sedang berjalan", dan tahap lain bertanda "Belum dimulai". Di layar sempit, stepper berubah menjadi vertikal.</t>
  </si>
  <si>
    <t>Detail Pendaftar terbuka sebagai halaman bertombol kembali yang memulihkan saringan dan halaman tabel. Stepper sembilan tahap membedakan tahap selesai (bertanggal lengkap dengan tahun), "Sedang berjalan", dan "Belum dimulai".</t>
  </si>
  <si>
    <t>IDDS-OB-18</t>
  </si>
  <si>
    <t>Detail Pendaftar: Provisi Manual dengan konfirmasi dan status proses</t>
  </si>
  <si>
    <t>Tombol "Provision Manual" berbahasa Inggris di kepala modal tanpa penjelasan kapan dipakai dan apa dampaknya.</t>
  </si>
  <si>
    <t>Tombol "Provision Manual" menjadi "Provisi Manual" dengan keterangan kapan tombol itu dipakai. Tombol hanya tampil setelah pembayaran lunas. Sebelum provisi berjalan, IDDS Modal konfirmasi menjelaskan dampaknya, dan tombol konfirmasinya berwarna merah. Selama berjalan, tombol berlabel "Memproses…" dan nonaktif. Setelah selesai, waktu dan pelaku provisi terakhir tampil di halaman, dan IDDS Toast mengumumkan hasilnya.</t>
  </si>
  <si>
    <t>"Provisi Manual" hanya tampil untuk pendaftar yang sudah lunas dan selalu meminta konfirmasi bertombol merah. Selama proses, tombol nonaktif bertuliskan "Memproses…", lalu waktu dan pelaku provisi terakhir tampil di halaman.</t>
  </si>
  <si>
    <t>IDDS-OB-19</t>
  </si>
  <si>
    <t>Monitoring Onboarding: bahasa dan istilah baku</t>
  </si>
  <si>
    <t>Istilah campuran masih dipakai, misalnya "Dashboard Admin", "Home", "Pending", "PAID", "APPROVED", "Timeline Status", "Provision Manual", dan "Rp 1".</t>
  </si>
  <si>
    <t>Kode dan istilah Inggris diganti: "Pending" menjadi "Menunggu", "PAID" menjadi "Lunas", "UNPAID" menjadi "Belum Dibayar", "APPROVED" menjadi "Disetujui", dan "TRIAL/ENTERPRISE" menjadi "Trial/Enterprise". "Timeline Status" menjadi "Riwayat Tahap", "Detail Riwayat" menjadi "Detail Pendaftar", "Menunggu..." menjadi "Belum dimulai", dan "Home" menjadi "Beranda". "User" menjadi "Pengguna" (kolom Nama Pengguna), dan "Provision Manual" menjadi "Provisi Manual". Tahap "Login Pertama" menjadi "Masuk Pertama", dan "Verifikasi Asosiasi" menjadi "Verifikasi Anggota". Nama tahap ini sama dengan nama menu dan progres pelanggan di chip, lencana, stepper, dan Bantuan. Nominal ditulis tanpa spasi ("Rp3.500.000"), dan tanggal memuat tahun.</t>
  </si>
  <si>
    <t>Dasbor, Manajemen Onboarding, dan Detail Pendaftar tidak lagi menampilkan istilah Inggris atau kode mentah yang tercantum di kondisi saat ini. Nama tahap di chip, lencana, stepper, dan Bantuan sama, nominal tanpa spasi, dan tanggal memuat tahun.</t>
  </si>
  <si>
    <t>IDDS-OB-20</t>
  </si>
  <si>
    <t>Monitoring Onboarding: Bantuan di setiap halaman</t>
  </si>
  <si>
    <t>Area staf Onboarding tidak memiliki panduan atau kontak dukungan.</t>
  </si>
  <si>
    <t>Dasbor, Manajemen Onboarding, dan Detail Pendaftar memiliki tombol Bantuan di kanan judul. Tombol ini membuka IDDS Drawer berisi penjelasan halaman, langkah, arti tahap dan istilah, pertanyaan umum (IDDS Accordion), serta kontak dukungan.</t>
  </si>
  <si>
    <t>Ketiga halaman memiliki tombol Bantuan di kanan judul yang membuka IDDS Drawer khusus halaman itu. Drawer memuat penjelasan halaman, arti tahap, pertanyaan umum, dan kontak dukungan.</t>
  </si>
  <si>
    <t>IDDS-OB-21</t>
  </si>
  <si>
    <t>Onboarding · Verifikasi (penyesuaian IDDS)</t>
  </si>
  <si>
    <t>Verifikasi Anggota: subjudul sesuai isi, pencarian berlabel, dan saringan IDDS Chip</t>
  </si>
  <si>
    <t>Subjudul berbunyi "Kelola dan verifikasi anggota yang mendaftar.". Kotak cari hanya berisi teks contoh "Cari nama, email, ID PPAT..." tanpa label. Saringan berupa pil bergaya khusus.</t>
  </si>
  <si>
    <t>Subjudul menyebut tindakan yang dapat dilakukan: "Periksa data anggota yang mendaftar, lalu setujui atau tolak verifikasinya." Pencarian memakai IDDS Input Search dengan label "Cari anggota" yang terlihat, dan jumlah anggota yang tampil diumumkan (aria-live). Saringan Semua, Belum Verifikasi, dan Sudah Verifikasi memakai IDDS Chip dalam grup berlabel, lengkap dengan jumlahnya. Chip terpilih ditandai aria-pressed dan dapat dipilih dengan papan ketik.</t>
  </si>
  <si>
    <t>dev.eppat.id › Verifikasi Anggota, Produk, Pembayaran</t>
  </si>
  <si>
    <t>Verifikasi Anggota menampilkan subjudul baru dan kotak cari berlabel "Cari anggota" yang mengumumkan jumlah hasil. Ketiga chip saringan menampilkan jumlahnya dan dapat dipilih dengan papan ketik.</t>
  </si>
  <si>
    <t>IDDS-OB-22</t>
  </si>
  <si>
    <t>Verifikasi Anggota: tabel, lencana status, dan aksi yang jelas</t>
  </si>
  <si>
    <t>Lencana status "Sudah Diverifikasi" terpotong menjadi dua baris. Tombol "Detail" tidak menyebut nama anggota, dan teks paginasi berbunyi "Menampilkan 1–10 dari total 476".</t>
  </si>
  <si>
    <t>Tabel memakai IDDS Table dengan kolom tetap: No, ID PPAT, Nama Pengguna, URL Web, Kontak, Status, dan Aksi. Judul kolom "Nama User" dibakukan menjadi "Nama Pengguna". Warna lencana status konsisten: "Sudah Diverifikasi" hijau, "Menunggu Verifikasi" kuning, dan "Ditolak" merah. Tombol "Lihat Detail" menyebut nama anggota (aria-label). Navigasi memakai IDDS Pagination dengan teks "Menampilkan 1–10 dari 24". Pencarian atau saringan tanpa hasil menawarkan "Hapus Pencarian" atau "Tampilkan Semua".</t>
  </si>
  <si>
    <t>Lencana status tampil dalam satu baris dengan warna sesuai status, dan tombol "Lihat Detail" menyebut nama anggota. Hasil kosong menampilkan tombol "Hapus Pencarian" atau "Tampilkan Semua".</t>
  </si>
  <si>
    <t>IDDS-OB-23</t>
  </si>
  <si>
    <t>Detail Verifikasi: remah, tombol Kembali, foto profil, dan IDDS Tabs</t>
  </si>
  <si>
    <t>Remah berbunyi "Home › Anggota › Detail". Tombol kembali hanya berupa ikon panah tanpa label. Area foto berupa gambar dengan teks "Klik gambar untuk mengubah foto". Di tab Kantor PPAT, kartu kiri "Logo Kantor" berupa gambar dengan teks "Klik gambar untuk mengubah logo".</t>
  </si>
  <si>
    <t>Remah menjadi "Beranda › Verifikasi Anggota › Detail Verifikasi" sesuai nama menu. Tombol Kembali berlabel "Kembali ke Verifikasi Anggota" dan mengembalikan saringan, halaman tabel, serta fokus ke baris asal. Area foto profil menjadi tombol dengan nama anggota (aria-label). Saat tab Kantor PPAT dibuka, kartu kiri berganti menjadi "Logo Kantor" berisi nama kantor dan ID PPAT, sama dengan live dan Profil Saya. Tab PPAT dan Kantor PPAT memakai IDDS Tabs (role tab, aria-selected, panah kiri/kanan). Seperti di live, Info Kontak PPAT hanya tampil di tab PPAT.</t>
  </si>
  <si>
    <t>Detail Verifikasi menampilkan remah "Beranda › Verifikasi Anggota › Detail Verifikasi" dan tombol "Kembali ke Verifikasi Anggota" yang memulihkan saringan, halaman, dan fokus baris. Tab dapat dipindah dengan panah kiri/kanan, dan kartu kiri berganti menjadi "Logo Kantor" di tab Kantor PPAT.</t>
  </si>
  <si>
    <t>IDDS-OB-24</t>
  </si>
  <si>
    <t>Detail Verifikasi: formulir PPAT dan Kantor PPAT dengan pesan galat di bawah isian dan penjaga perubahan</t>
  </si>
  <si>
    <t>Galat hanya berupa notifikasi sementara, dan tidak ada peringatan saat halaman ditinggalkan dengan perubahan yang belum disimpan. Di tab Kantor PPAT, ID PPAT / Kode Kantor dan URL Web tampil abu-abu tanpa keterangan, dan Bank berisi "-- Pilih Bank --". Peta Leaflet memiliki tombol "+"/"−" tanpa label, kotak cari "Cari lokasi (cth: Monas, Jakarta)..." tanpa label, dan keterangan "Geser pin pada peta untuk mengisi koordinat GPS secara otomatis.". Tombol Batal dan "Simpan Data Kantor" tidak disertai tanda perubahan yang belum disimpan.</t>
  </si>
  <si>
    <t>Isian Kode, Jenis Kelamin, Nama Depan, Nama Tengah, dan Nama Belakang tetap seperti live. Bila Nama Depan kosong, pesan galat tampil di bawah isian (aria-invalid dan aria-describedby) dan fokus pindah ke isian itu. Setelah tersimpan, keterangan di samping tombol menampilkan waktu simpan. Tab Kantor PPAT memuat semua isi live dengan markup, teks, dan ikon yang sama dengan Profil Saya. Isinya: Nama Kantor; Detail Registrasi (ID PPAT / Kode Kantor dan URL Web terkunci dengan keterangan, Bank, Nomor Rekening); Info Kontak Kantor; dan Lokasi Kantor (Alamat Lengkap, Kelurahan, Kecamatan, Kota/Kabupaten, GPS Lat, GPS Long). Peta contoh dapat diklik, diperbesar/diperkecil, dan dicari lewat IDDS Input Search berlabel, sehingga koordinat GPS terisi otomatis. Kaki tab menampilkan "Belum disimpan" atau "Belum ada perubahan", lalu tombol Batal (meminta konfirmasi) dan "Simpan Data Kantor". Pesan galat tampil di bawah isian bila nama kantor kosong, nomor rekening bukan 6–20 angka, atau GPS di luar rentang. Bila pengguna pindah halaman saat ada perubahan yang belum disimpan, muncul dialog "Tinggalkan halaman ini?".</t>
  </si>
  <si>
    <t>Nama Depan atau nama kantor kosong, nomor rekening bukan 6–20 angka, dan GPS di luar rentang menampilkan pesan galat di bawah isian. Memilih titik di peta mengisi GPS Lat dan GPS Long, dan pindah halaman dengan perubahan yang belum disimpan memunculkan "Tinggalkan halaman ini?".</t>
  </si>
  <si>
    <t>IDDS-OB-25</t>
  </si>
  <si>
    <t>Detail Verifikasi: Info Kontak berbahasa Indonesia dengan sakelar IDDS Toggle</t>
  </si>
  <si>
    <t>Tabel memakai kolom "Contact Account / Code", "Contact Type", "Active", dan "Action" dengan jenis "Phone". Sakelar dan ikon pensil tidak berlabel, dan kontak dapat dinonaktifkan tanpa konfirmasi. Tabel Info Kontak di tab Kantor PPAT memakai kolom yang sama dan, bila kosong, bertuliskan "No contacts yet.".</t>
  </si>
  <si>
    <t>Kolom tabel kontak menjadi "No.", "Akun / Nomor", "Jenis Kontak", "Status", dan "Aksi", sama dengan Profil Saya dan Edit Pengguna. Jenis "Phone" menjadi "Telepon". Sakelar Aktif memakai IDDS Toggle (role switch) dengan aria-label yang menyebut kontaknya. Menonaktifkan kontak meminta konfirmasi dengan tombol merah. Tombol ubah menyebut kontaknya. "Tambah Kontak" dan "Ubah Kontak" membuka IDDS Modal yang menampilkan pesan galat di bawah isian bila format email atau nomor telepon salah. Di tab Kantor PPAT, tabel "Info Kontak Kantor" memakai markup Profil Saya dengan kolom, dialog, dan konfirmasi yang sama. Tabel kosong bertuliskan "Belum ada kontak. Tambahkan email atau nomor telepon lewat Tambah Kontak."</t>
  </si>
  <si>
    <t>Kedua tabel kontak (PPAT dan Kantor PPAT) memakai kolom berbahasa Indonesia yang sama dengan Profil Saya. Menonaktifkan kontak meminta konfirmasi bertombol merah, dan format email atau nomor telepon yang salah ditolak dengan pesan di bawah isian.</t>
  </si>
  <si>
    <t>IDDS-OB-26</t>
  </si>
  <si>
    <t>Detail Verifikasi: keputusan Setujui atau Tolak</t>
  </si>
  <si>
    <t>Halaman detail tidak menampilkan status verifikasi maupun tombol untuk menyetujui atau menolak. Admin tidak tahu cara menyelesaikan verifikasi dari halaman ini.</t>
  </si>
  <si>
    <t>Kartu "Status verifikasi" menampilkan status anggota dengan lencana. Untuk anggota yang menunggu, tombol "Setujui" dan "Tolak" selalu terlihat. Setujui membuka dialog konfirmasi. Tolak membuka dialog yang mewajibkan alasan minimal 10 karakter. Bila alasan kosong, pesan galat tampil di bawah isian. Tombol "Tolak Anggota" berwarna merah. Alasan yang belum dikirim disimpan sebagai draf, dan pindah halaman memunculkan dialog "Tinggalkan halaman ini?".</t>
  </si>
  <si>
    <t>Anggota yang menunggu menampilkan tombol "Setujui" dan "Tolak" di kartu "Status verifikasi", dan kedua tombol selalu membuka dialog. Penolakan tidak dapat dikirim tanpa alasan minimal 10 karakter.</t>
  </si>
  <si>
    <t>IDDS-OB-27</t>
  </si>
  <si>
    <t>Verifikasi Produk: subjudul sesuai isi, pencarian berlabel, chip, dan lencana berbahasa Indonesia</t>
  </si>
  <si>
    <t>Subjudul berbunyi "Daftar user yang telah sampai pada tahap memilih produk Enterprise atau Trial.". Lencana berisi kode mentah "ENTERPRISE" dan "TRIAL". Teks contoh pencarian terpotong ("kode orde").</t>
  </si>
  <si>
    <t>Subjudul berbunyi "Lihat calon PPAT yang sudah memilih paket Enterprise atau Trial." Pencarian memakai label "Cari order" yang terlihat. Saringan Semua Produk, Enterprise, dan Trial memakai IDDS Chip dengan jumlahnya. Kode paket mentah ditampilkan sebagai lencana "Enterprise" dan "Trial", dan status "Aktif" berlencana hijau. Seperti di live, baris tidak memiliki aksi. Bantuan menjelaskan bahwa status paket berubah secara otomatis.</t>
  </si>
  <si>
    <t>Verifikasi Produk menampilkan subjudul baru, kotak cari berlabel "Cari order", dan chip saringan berjumlah. Kolom paket menampilkan lencana "Enterprise" atau "Trial", bukan kode berhuruf kapital.</t>
  </si>
  <si>
    <t>IDDS-OB-28</t>
  </si>
  <si>
    <t>Verifikasi Pembayaran: status berbahasa Indonesia, nominal baku, dan tombol Muat Ulang</t>
  </si>
  <si>
    <t>Subjudul menyebut "simulasi tagihan" yang tidak ada di halaman. Chip berbunyi "Paid (Lunas)", "Unpaid (Belum Bayar)", "Expired", dan "Failed". Lencana berisi "PAID"/"UNPAID", metode ditulis "VIRTUAL ACCOUNT", dan nominal "Rp 1". Tombol "Reload" tidak menampilkan status.</t>
  </si>
  <si>
    <t>Subjudul sesuai isi: "Pantau tagihan Virtual Account calon PPAT dan status pembayarannya." Chip saringan menjadi "Semua Status", "Lunas", "Belum Dibayar", "Kedaluwarsa", dan "Gagal". Warna lencana: Lunas hijau, Belum Dibayar dan Kedaluwarsa kuning, serta Gagal merah. Paket dan metode ditulis "Enterprise" dan "Virtual Account", sedangkan nominal ditulis "Rp3.500.000". Tombol "Reload" menjadi "Muat Ulang" yang menampilkan "Memuat…" lalu waktu pembaruan terakhir. Tombol "Lihat Detail" menyebut nomor tagihan. Kolom "Nama User" menjadi "Nama Pengguna".</t>
  </si>
  <si>
    <t>Chip dan lencana Verifikasi Pembayaran memakai label Indonesia dengan warna sesuai status, dan nominal tampil tanpa spasi. Menekan "Muat Ulang" menampilkan "Memuat…" lalu waktu pembaruan terakhir.</t>
  </si>
  <si>
    <t>IDDS-OB-29</t>
  </si>
  <si>
    <t>Detail Transaksi Pembayaran: halaman detail dengan label berbahasa Indonesia</t>
  </si>
  <si>
    <t>Detail tampil di modal dengan label "Waktu Create VA" dan "Waktu Pembayaran (Paid At)". Nilai kosong ditulis "-", dan status tagihan tidak terlihat di modal. Paket ditulis "ENTERPRISE" dan metode "VIRTUAL ACCOUNT (002)".</t>
  </si>
  <si>
    <t>Detail dibuka sebagai halaman (Beranda › Verifikasi Pembayaran › Detail Transaksi Pembayaran). Tombol "Kembali ke Verifikasi Pembayaran" mengembalikan saringan, halaman tabel, dan fokus ke baris asal. Status tagihan tampil sebagai lencana. Label dibakukan menjadi "Waktu Pembuatan VA" dan "Waktu Pembayaran". Nilai kosong ditulis "Belum ada" atau "Belum dibayar", bukan "-".</t>
  </si>
  <si>
    <t>Detail Transaksi Pembayaran terbuka sebagai halaman dengan lencana status tagihan serta label "Waktu Pembuatan VA" dan "Waktu Pembayaran". Tidak ada nilai "-", dan tombol kembali memulihkan saringan, halaman, dan fokus baris.</t>
  </si>
  <si>
    <t>IDDS-OB-30</t>
  </si>
  <si>
    <t>Verifikasi: Bantuan di setiap halaman</t>
  </si>
  <si>
    <t>Verifikasi Anggota, Detail Verifikasi, Verifikasi Produk, Verifikasi Pembayaran, dan Detail Transaksi memiliki tombol Bantuan di kanan judul. Tombol ini membuka IDDS Drawer berisi penjelasan halaman, langkah, arti status, pertanyaan umum (IDDS Accordion), serta kontak dukungan.</t>
  </si>
  <si>
    <t>Kelima halaman Verifikasi memiliki tombol Bantuan di kanan judul yang membuka IDDS Drawer khusus halaman itu. Drawer memuat penjelasan, arti status, pertanyaan umum, dan kontak dukungan.</t>
  </si>
  <si>
    <t>IDDS-OB-31</t>
  </si>
  <si>
    <t>Onboarding · Pengaturan (penyesuaian IDDS)</t>
  </si>
  <si>
    <t>Menu: judul, subjudul, dan kolom berbahasa Indonesia</t>
  </si>
  <si>
    <t>Remah berbunyi "Home › Menu Admin" dengan subjudul "Kelola menu navigasi aplikasi admin". Kolom tabel berbunyi "CODE", "NAMA MENU", "URL", "DESKRIPSI", dan "STATUS", sedangkan kolom aksi tidak berjudul. Data memuat "Navigation" dan "Dashboard", dan nilai kosong ditulis "-".</t>
  </si>
  <si>
    <t>Halaman Menu Admin, Menu Operator, dan Menu Customer memakai remah IDDS "Beranda › Menu Admin" dan subjudul satu kalimat: "Atur susunan menu samping aplikasi admin." Kolom tabel menjadi Kode, Nama Menu, URL, Deskripsi, Status, dan Aksi; kolom aksi kini berjudul. Data menu ikut dibakukan seperti di menu samping: "Navigation" menjadi "Utama" dan "Dashboard" menjadi "Dasbor". Nilai kosong ditulis "Belum ada", bukan "-".</t>
  </si>
  <si>
    <t>dev.eppat.id › Pengaturan (Menu, Daftar Pengguna, Peran Pengguna, Harga Produk, Paket Langganan)</t>
  </si>
  <si>
    <t>Ketiga halaman Menu menampilkan remah yang diawali "Beranda", subjudul baru, serta kolom Kode, Nama Menu, URL, Deskripsi, Status, dan Aksi. Data menu menampilkan "Utama" dan "Dasbor", dan tidak ada sel bernilai "-".</t>
  </si>
  <si>
    <t>IDDS-OB-32</t>
  </si>
  <si>
    <t>Menu: pohon menu dengan tombol buka/tutup dan pencarian berlabel</t>
  </si>
  <si>
    <t>Panah buka/tutup tidak berlabel, dan garis pohon "├─" ikut dibacakan pembaca layar. Kotak cari "Cari nama atau code menu..." tidak berlabel dan tidak menampilkan jumlah hasil.</t>
  </si>
  <si>
    <t>Menu induk memiliki tombol panah dengan aria-expanded dan label "Tutup sub-menu Verifikasi" atau "Buka sub-menu Verifikasi", sehingga keadaannya dibacakan. Sub-menu tampil menjorok di bawah induknya. Pencarian memakai IDDS Input Search dengan label "Cari menu". Hasil pencarian menampilkan menu yang cocok beserta induknya, dan jumlah menu yang tampil diumumkan.</t>
  </si>
  <si>
    <t>Tombol panah menu induk mengubah aria-expanded dan labelnya saat ditekan, dan sub-menu tampil menjorok di bawah induknya. Pencarian berlabel "Cari menu" menampilkan menu yang cocok beserta induknya serta mengumumkan jumlah hasil.</t>
  </si>
  <si>
    <t>IDDS-OB-33</t>
  </si>
  <si>
    <t>Menu: aksi baris menyebut nama menu</t>
  </si>
  <si>
    <t>Tiga ikon aksi (+, pensil, tempat sampah) tidak bertuliskan teks, tidak memiliki tooltip, dan tidak menyebut nama menu untuk pembaca layar.</t>
  </si>
  <si>
    <t>Ikon Tambah Sub-menu, Edit Menu, dan Hapus Menu memakai IDDS Button dengan aria-label dan IDDS Tooltip yang menyebut nama menu, misalnya "Hapus menu Harga Produk". Tambah Sub-menu hanya tampil di menu tingkat pertama dan kedua, sama seperti live.</t>
  </si>
  <si>
    <t>Setiap ikon aksi baris memiliki aria-label dan tooltip yang menyebut nama menunya. Tombol Tambah Sub-menu tidak tampil di menu tingkat ketiga.</t>
  </si>
  <si>
    <t>IDDS-OB-34</t>
  </si>
  <si>
    <t>Menu: formulir Tambah/Edit Menu dengan pesan galat di bawah isian</t>
  </si>
  <si>
    <t>Formulir memakai label "Code Menu *", "Parent Menu Code", "Status Aktif", dan "Icon Navigasi". Ikon dipilih dari nama teknis berbahasa Inggris ("LayoutDashboard", "Settings2", "UserCog", "ListTree"). Pesan galat tidak menempel pada isian.</t>
  </si>
  <si>
    <t>Formulir memakai IDDS Modal dan IDDS Text Field berlabel Indonesia: Kode Menu Induk, Kode Menu, Status, Nama Menu, URL / Path, Deskripsi Menu, dan Ikon Navigasi. Kode baru terisi otomatis. Pesan galat tampil di bawah isian (aria-invalid), misalnya "Kode Menu sudah dipakai menu Dasbor." atau "URL harus diawali garis miring (/).". Pilihan ikon berupa grup radio berlabel Indonesia ("Tanpa Ikon", "Dasbor", "Pengaturan", …) yang dapat dipilih dengan tombol panah. Pada Edit Menu, kode dikunci karena menjadi dasar kode sub-menu.</t>
  </si>
  <si>
    <t>Formulir menolak kode ganda dan URL tanpa garis miring awal dengan pesan galat di bawah isian. Pilihan ikon berlabel Indonesia dapat dipilih dengan tombol panah, dan kode terkunci di Edit Menu.</t>
  </si>
  <si>
    <t>IDDS-OB-35</t>
  </si>
  <si>
    <t>Menu: konfirmasi Hapus Menu yang menyebut dampaknya</t>
  </si>
  <si>
    <t>Konfirmasi hanya berisi "Ya, Hapus" / "Batal" tanpa menyebut sub-menu yang ikut terhapus.</t>
  </si>
  <si>
    <t>Hapus Menu membuka IDDS Modal konfirmasi "Hapus menu Verifikasi?". Dialog menyebut kode menu, jumlah sub-menu yang ikut terhapus, dan bahwa menu hilang dari menu samping dan Peran Pengguna. Tombol konfirmasi "Hapus Menu" berwarna merah. Batal atau Esc mengembalikan fokus ke tombol asal. Setelah menu terhapus, IDDS Toast mengumumkan hasilnya.</t>
  </si>
  <si>
    <t>Dialog Hapus Menu menyebut kode menu dan jumlah sub-menu yang ikut terhapus, dengan tombol "Hapus Menu" berwarna merah. Batal atau Esc mengembalikan fokus ke tombol asal.</t>
  </si>
  <si>
    <t>IDDS-OB-36</t>
  </si>
  <si>
    <t>Daftar Pengguna: label berbahasa Indonesia, saringan IDDS Chip, dan pencarian berlabel</t>
  </si>
  <si>
    <t>Judul berbunyi "Customer" dengan subjudul "Kelola data pengguna customer". Kolom berbunyi "Code", "Name", "Created", "Type", dan "Actions", dan MFA kosong ditulis "—". Tombol berlabel "Add User", dan teks paginasi berbunyi "Menampilkan 1–10 dari total 760".</t>
  </si>
  <si>
    <t>Halaman berjudul "Daftar Pengguna Customer" dengan subjudul "Tambah, ubah, atau hapus akun pengguna customer." Kolom menjadi Kode, Avatar, Nama, Email, Dibuat, Tipe, Status, MFA, dan Aksi. Saringan Semua/Aktif/Nonaktif memakai IDDS Chip (aria-pressed) dengan jumlahnya. Pencarian berlabel "Cari pengguna", dan jumlah hasil diumumkan. MFA kosong ditulis "Belum diatur", bukan "—". Tombol "Add User" menjadi "Tambah Pengguna".</t>
  </si>
  <si>
    <t>Daftar Pengguna menampilkan judul, kolom, dan tombol "Tambah Pengguna" berbahasa Indonesia. Chip saringan berjumlah dapat dipilih dengan papan ketik, dan pencarian berlabel "Cari pengguna" mengumumkan jumlah hasil.</t>
  </si>
  <si>
    <t>IDDS-OB-37</t>
  </si>
  <si>
    <t>Daftar Pengguna: dialog Tambah Pengguna dengan pesan galat di bawah isian</t>
  </si>
  <si>
    <t>Dialog berjudul "Tambah User" dengan isian "Password", contoh "email@example.com", dan tombol "Tambah User". Pesan galat tidak menempel pada isian.</t>
  </si>
  <si>
    <t>Dialog Tambah Pengguna memakai IDDS Modal dengan isian yang sama dengan live: Nama Depan, Nama Tengah, Nama Belakang, Avatar, Email, Kata Sandi, Tipe, Jenis Kelamin, dan Deskripsi. Pesan galat tampil di bawah isian yang salah. Kesalahan yang diperiksa adalah nama depan kosong, format email salah, email sudah terdaftar, atau kata sandi kurang dari 12 karakter tanpa huruf besar, huruf kecil, angka, dan simbol. Fokus pindah ke isian pertama yang salah.</t>
  </si>
  <si>
    <t>Dialog Tambah Pengguna menolak nama depan kosong, email salah format atau sudah terdaftar, dan kata sandi yang tidak memenuhi syarat dengan pesan di bawah isian. Fokus pindah ke isian pertama yang salah.</t>
  </si>
  <si>
    <t>IDDS-OB-38</t>
  </si>
  <si>
    <t>Daftar Pengguna: aksi Edit dan Hapus menyebut nama pengguna</t>
  </si>
  <si>
    <t>Ikon pensil dan tempat sampah tidak bertuliskan teks. Konfirmasi berbunyi "Hapus User?" dengan tombol "Ya, Hapus" dan "Batal".</t>
  </si>
  <si>
    <t>Ikon Edit dan Hapus memakai aria-label dan IDDS Tooltip berisi nama pengguna. Hapus membuka konfirmasi "Hapus pengguna Calon PPAT Contoh Satu?" yang menyebut email dan dampaknya. Dialog memuat tombol "Hapus Pengguna" berwarna merah dan saran menonaktifkan akun bila hanya ingin menghentikan sementara. Akun yang sedang dipakai (Admin Contoh) tidak dapat dihapus, dan alasannya tertulis di baris tersebut.</t>
  </si>
  <si>
    <t>Ikon Edit dan Hapus menyebut nama pengguna di aria-label dan tooltip. Dialog hapus menyebut nama dan email pengguna dengan tombol merah, dan akun yang sedang dipakai tidak dapat dihapus dengan alasan tertulis di barisnya.</t>
  </si>
  <si>
    <t>IDDS-OB-39</t>
  </si>
  <si>
    <t>Edit Pengguna: halaman bertab IDDS Tabs berbahasa Indonesia</t>
  </si>
  <si>
    <t>Remah berbunyi "Home › Customer › Edit Customer", dan tab berlabel "Password". Blok "Data Remarks" memuat sakelar "Active". Tabel kontak memakai kolom "Contact Account / Code", "Contact Type", "Active", dan "Action" dengan jenis "Email"/"Phone". Di tab Kantor PPAT, lencana "Nonaktif" tidak dijelaskan, ID PPAT / Kode Kantor dan URL Web tampil abu-abu tanpa keterangan, dan Bank berisi "-- Pilih Bank --". Tabel Info Kontak kosong bertuliskan "No contacts yet.". Peta Leaflet memiliki tombol "+"/"−" tanpa label, kotak cari "Cari lokasi (cth: Monas, Jakarta)..." tanpa label, dan keterangan "Geser pin pada peta untuk mengisi koordinat GPS secara otomatis."</t>
  </si>
  <si>
    <t>Edit Pengguna memakai pola yang sama dengan Profil Saya: kartu kiri dan IDDS Tabs "PPAT", "Kantor PPAT", dan "Kata Sandi". Saat tab Kantor PPAT dibuka, kartu kiri "Foto Profil" berganti menjadi "Logo Kantor" (nama kantor dan ID PPAT), sama dengan live. Remah berbunyi "Beranda › Daftar Pengguna Customer › Edit Pengguna", dan tombol kembali berlabel "Kembali ke Daftar Pengguna Customer". Blok "Data Remarks" menjadi "Status Akun" dengan sakelar berlabel "Akun aktif" dan teks Aktif/Nonaktif. Tab Kantor PPAT memuat semua isi live dengan markup yang sama dengan Profil Saya. Nama Kantor diberi lencana status kantor (IDDS Badge) dengan tooltip yang menjelaskan kapan kantor aktif. Isi lainnya: Detail Registrasi (ID PPAT / Kode Kantor dan URL Web terkunci dengan keterangan, Bank, Nomor Rekening); Info Kontak Kantor; dan Lokasi Kantor (Alamat Lengkap, Kelurahan, Kecamatan, Kota/Kabupaten, GPS Lat, GPS Long). Peta contoh dapat diklik, diperbesar/diperkecil, dan dicari lewat IDDS Input Search berlabel, dan koordinat GPS terisi otomatis. Tab diakhiri tombol Batal dan "Simpan Data Kantor". Tabel kontak memakai kolom No., Akun / Nomor, Jenis Kontak, Status, dan Aksi.</t>
  </si>
  <si>
    <t>Edit Pengguna menampilkan remah dan tab berbahasa Indonesia, blok "Status Akun", serta tab Kantor PPAT dengan isian, kolom, dan teks yang sama dengan Profil Saya. Kartu kiri berganti menjadi "Logo Kantor" saat tab Kantor PPAT dibuka.</t>
  </si>
  <si>
    <t>IDDS-OB-40</t>
  </si>
  <si>
    <t>Edit Pengguna: tab Kata Sandi untuk admin, pesan galat di bawah isian, dan penjaga perubahan</t>
  </si>
  <si>
    <t>Tab "Password" berisi isian "Kata Sandi Saat Ini", "Kata Sandi Baru", dan "Konfirmasi Kata Sandi", padahal admin mengubah kata sandi pengguna lain. Di bawahnya hanya tertulis "Min. 12 karakter · Huruf besar, kecil, angka &amp; simbol" dengan bilah kekuatan, dan tombol simpan berlabel "Perbarui". Tidak ada tanda perubahan yang belum disimpan, dan perubahan hilang tanpa peringatan saat pengguna pindah menu.</t>
  </si>
  <si>
    <t>Tab Kata Sandi hanya berisi Kata Sandi Baru dan Konfirmasi Kata Sandi. Isian "Kata Sandi Saat Ini" dihapus karena admin mengubah kata sandi pengguna lain dan tidak mengetahui kata sandinya. Syarat kata sandi tampil sebagai daftar centang seperti layar Registrasi (minimal 12 karakter, huruf besar, huruf kecil, angka, dan simbol) dan tercentang saat mengetik. Tombol "Perbarui" menjadi "Simpan Kata Sandi" agar seragam dengan "Simpan PPAT" dan "Simpan Data Kantor". Setiap tab menampilkan status "Belum disimpan" di samping tombol simpan dan titik penanda pada tab yang berubah. Pesan galat tampil di bawah isian, misalnya "Nama Depan wajib diisi.", "Nomor Rekening hanya boleh berisi angka.", "GPS Lat berupa angka antara -90 dan 90.", atau "Konfirmasi kata sandi tidak sama.". Bila halaman ditinggalkan sebelum disimpan, muncul "Tinggalkan halaman ini?" dengan pilihan Tetap di Sini atau Tinggalkan. Atur Ulang MFA meminta konfirmasi bertombol merah.</t>
  </si>
  <si>
    <t>Tab Kata Sandi di Edit Pengguna tidak memuat isian "Kata Sandi Saat Ini" dan menyimpan lewat tombol "Simpan Kata Sandi". Setiap tab menandai perubahan yang belum disimpan, dan meninggalkan halaman sebelum menyimpan memunculkan "Tinggalkan halaman ini?".</t>
  </si>
  <si>
    <t>IDDS-OB-41</t>
  </si>
  <si>
    <t>Peran Pengguna: sakelar berlabel, konfirmasi cabut akses, dan status tersimpan</t>
  </si>
  <si>
    <t>Mematikan sakelar langsung mencabut akses tanpa konfirmasi, dan tidak ada tanda tersimpan. Sakelar tidak berlabel. Saat gagal, muncul pesan "Gagal · Tidak dapat terhubung ke server." dengan tombol OK.</t>
  </si>
  <si>
    <t>Setiap sakelar memakai IDDS Toggle dengan label yang menyebut menu dan pengguna, misalnya "Akses menu Harga Produk untuk Operator Contoh Dua". Mematikan sakelar membuka konfirmasi "Cabut akses Harga Produk?" dengan tombol "Cabut Akses" berwarna merah. Menyalakan sakelar langsung memberi akses. Status penyimpanan selalu terlihat di atas tabel ("Tersimpan pukul 19.06: …") dan diumumkan (aria-live).</t>
  </si>
  <si>
    <t>Mencabut akses selalu meminta konfirmasi bertombol merah, sedangkan memberi akses langsung tersimpan. Setelah setiap perubahan, status "Tersimpan pukul …" tampil di atas tabel dan diumumkan ke pembaca layar.</t>
  </si>
  <si>
    <t>IDDS-OB-42</t>
  </si>
  <si>
    <t>Peran Pengguna: tabel akses yang mudah dibaca</t>
  </si>
  <si>
    <t>Judul berbunyi "Operator" dengan subjudul "Kelola akses menu per role". Kolom pengguna berjudul "List User", dan grup kolom berbunyi "Navigation". Semua pengguna (760 customer) dimuat dalam satu tabel tanpa pencarian.</t>
  </si>
  <si>
    <t>Halaman berjudul "Peran Pengguna Operator" dengan subjudul "Atur menu yang dapat dibuka setiap pengguna operator." Kolom pertama "Pengguna" tetap terlihat saat tabel digulir ke samping. Grup kolom memakai nama Indonesia ("Utama", "Pengaturan"). Pencarian "Cari pengguna" dan IDDS Pagination 10 baris per halaman memudahkan pembacaan daftar customer yang panjang. Ringkasan "8 pengguna · 13 menu" tetap ada.</t>
  </si>
  <si>
    <t>Kolom "Pengguna" tetap terlihat saat tabel digulir ke samping, dan grup kolom memakai nama Indonesia. Daftar pengguna dapat dicari dan dibagi 10 baris per halaman.</t>
  </si>
  <si>
    <t>IDDS-OB-43</t>
  </si>
  <si>
    <t>Harga Produk: daftar, Tambah/Edit Produk, dan riwayat harga</t>
  </si>
  <si>
    <t>Subjudul berbunyi "Kelola data master produk dan daftar amount paket untuk sistem E-PPAT.". Kolom berbunyi "Created" dan "Modified", dan nominal tertulis "Rp 1", "Rp 9.999", atau "-". Tab berlabel "Main Info". Kolom harga berbunyi "Tanggal/jam", "Create/Modif", dan "Action". Sakelar dan tombol hapus harga bekerja tanpa konfirmasi.</t>
  </si>
  <si>
    <t>Subjudul sesuai isi: "Atur produk, durasi, dan harga paket E-PPAT." Kolom "Created/Modified" menjadi "Dibuat/Diubah", nominal ditulis "Rp3.500.000", dan produk tanpa harga ditulis "Belum ada harga". Tambah dan Edit Produk memakai IDDS Text Field dengan pesan galat di bawah isian dan penjaga perubahan. Aturannya: kode wajib, unik, dan berhuruf kapital; durasi minimal 1 hari. Tab "Main Info" menjadi "Info Utama". Di tab Harga, nominal diketik dengan pemisah ribuan. Mengganti atau menonaktifkan harga aktif dan menghapus harga meminta konfirmasi bertombol merah. Harga aktif tidak dapat dihapus, dan alasannya tertulis.</t>
  </si>
  <si>
    <t>Formulir produk menolak kode kosong, ganda, atau tidak berhuruf kapital serta durasi kurang dari 1 hari dengan pesan di bawah isian. Mengganti, menonaktifkan, atau menghapus harga meminta konfirmasi bertombol merah, dan harga aktif tidak dapat dihapus.</t>
  </si>
  <si>
    <t>IDDS-OB-44</t>
  </si>
  <si>
    <t>Paket Langganan: paket sistem, dialog berlabel, dan pesan galat di bawah isian</t>
  </si>
  <si>
    <t>Subjudul berbunyi "Katalog paket langganan e-PPAT (sumber data langsung dari platform).", dan kolom berbunyi "Max Order" dan "Max User". Ikon hapus paket sistem hanya tampak pudar tanpa alasan. Nama paket tertulis "SATU BULAN".</t>
  </si>
  <si>
    <t>Subjudul berbunyi "Atur paket langganan yang dapat dipilih calon PPAT." Kolom "Max Order/Max User" menjadi "Maks. Order/Maks. Pengguna". Paket sistem (Gratis, Enterprise) bertanda "Paket sistem". Tombol Hapus paket sistem nonaktif, dan alasannya tertulis di baris ("Paket sistem tidak dapat dihapus."), bukan hanya di tooltip. Dialog Tambah/Edit Paket memakai IDDS Checkbox "Tanpa batas" yang mengosongkan dan mengunci isian angkanya, serta menampilkan pesan galat di bawah isian. Menghapus paket lain meminta konfirmasi bertombol merah.</t>
  </si>
  <si>
    <t>Paket sistem bertanda "Paket sistem", dan tombol Hapus-nya nonaktif dengan alasan tertulis di baris. Mencentang "Tanpa batas" mengosongkan dan mengunci isian angka, dan menghapus paket lain meminta konfirmasi bertombol merah.</t>
  </si>
  <si>
    <t>IDDS-OB-45</t>
  </si>
  <si>
    <t>Pengaturan: Bantuan di setiap halaman</t>
  </si>
  <si>
    <t>Menu Pengaturan tidak memiliki panduan atau kontak dukungan.</t>
  </si>
  <si>
    <t>Menu, Daftar Pengguna, Edit Pengguna, Peran Pengguna, Harga Produk (termasuk Tambah/Edit Produk), dan Paket Langganan memiliki tombol Bantuan di kanan judul. Tombol ini membuka IDDS Drawer berisi penjelasan halaman, langkah, istilah, pertanyaan umum (IDDS Accordion), serta kontak dukungan.</t>
  </si>
  <si>
    <t>Setiap halaman Pengaturan memiliki tombol Bantuan di kanan judul yang membuka IDDS Drawer khusus halaman itu. Drawer memuat penjelasan, langkah, istilah, pertanyaan umum, dan kontak dukungan.</t>
  </si>
  <si>
    <t>IDDS-OB-46</t>
  </si>
  <si>
    <t>Onboarding · Simulasi Pembayaran (penyesuaian IDDS)</t>
  </si>
  <si>
    <t>Pilih Metode Pembayaran: QRIS nonaktif dengan alasan yang terlihat</t>
  </si>
  <si>
    <t>Di layar Pilih Metode Pembayaran, QRIS berlabel "COMING SOON". Setelah Virtual Account diklik, QRIS muncul di daftar bank sebagai pilihan aktif tanpa label ("Scan dari aplikasi bank atau e-wallet mana pun"), sementara bank lain berlabel "Segera hadir" (temuan #2). Pola yang sama terulang di halaman Upgrade ke Enterprise (bukti 26 Okt 23.05). Subjudulnya berbunyi "QRIS atau Virtual Account sesuai pilihan.", dan "QRIS — Scan dari aplikasi bank atau e-wallet mana pun" muncul di antara bank.</t>
  </si>
  <si>
    <t>Di layar Pilih Metode Pembayaran, QRIS dan Transfer Bank tampil sebagai pilihan nonaktif berlencana "Segera hadir". Alasannya tertulis di bawah pilihan, yaitu "Belum tersedia. Gunakan Virtual Account.", dan juga dibacakan pembaca layar (aria-describedby). Daftar bank Virtual Account tidak lagi memuat QRIS, sehingga status QRIS seragam di kedua layar. BRI Virtual Account (kode bank 002) terpilih otomatis seperti di live, sedangkan BCA, BNI, dan Mandiri tetap "Segera hadir".</t>
  </si>
  <si>
    <t>dev.eppat.id › Dasbor pelanggan › Pembayaran VA; Verifikasi Pembayaran; Manajemen Onboarding</t>
  </si>
  <si>
    <t>QRIS dan Transfer Bank tidak dapat dipilih dan menampilkan alasan "Belum tersedia. Gunakan Virtual Account." yang terhubung lewat aria-describedby. Daftar bank Virtual Account tidak memuat QRIS, dan BRI terpilih otomatis.</t>
  </si>
  <si>
    <t>IDDS-OB-47</t>
  </si>
  <si>
    <t>Tagihan VA: batas waktu lengkap, hitung mundur, tombol Salin, cara bayar per kanal, dan hasil Cek Status</t>
  </si>
  <si>
    <t>Kartu "BRI Virtual Account · Pembayaran Terverifikasi" berisi "Selesaikan Pembayaran Dalam 23:59:24" dan "Berlaku sampai 13 Okt, 14.10" tanpa tahun. Label tertulis "Reference", dan nominal "Rp 1". "Panduan Pembayaran" berisi tiga kalimat umum yang sama untuk semua kanal. Hasil Cek Status Pembayaran (bukti 26 Okt 23.05, halaman Upgrade) hanya berupa kotak "Pembayaran belum terdeteksi. Silakan transfer terlebih dahulu." tanpa jam pengecekan (lihat IDDS-OB-58).</t>
  </si>
  <si>
    <t>Kartu tagihan menampilkan nomor VA, nominal "Rp3.500.000", hitung mundur, dan batas waktu lengkap dengan tahun ("27 Okt 2026, 14.53"). Tombol "Salin" menyebut nomornya untuk pembaca layar. Panduan umum diganti dengan cara bayar per kanal BRI dalam IDDS Accordion (ATM, BRImo, Internet Banking, bank lain). Label "Reference" menjadi "Referensi". Cek Status Pembayaran menampilkan "Belum ada pembayaran masuk" beserta jam pengecekan dan perkiraan waktu verifikasi. Perkiraannya paling lama 10 menit setelah transfer, sesuai email instruksi di live.</t>
  </si>
  <si>
    <t>Kartu tagihan menampilkan batas waktu bertahun, label "Referensi", dan tombol "Salin" yang menyebut nomor VA. Cara bayar tersedia per kanal BRI, dan Cek Status menampilkan jam pengecekan serta perkiraan verifikasi paling lama 10 menit.</t>
  </si>
  <si>
    <t>IDDS-OB-48</t>
  </si>
  <si>
    <t>Riwayat tahap tersinkron: Proses Pembayaran "Sedang berjalan" sejak VA dibuat</t>
  </si>
  <si>
    <t>Detail Riwayat "Uji Onboarding HE (PPAT990002)" mencatat Pendaftaran 26 Okt, 14.47 … Pilih Produk 26 Okt, 14.52. Proses Pembayaran tetap "Menunggu..." padahal VA kode 002 sudah dibuat pukul 14.52 dan berstatus UNPAID. Lunas, Proses Administrasi, dan Selesai juga "Menunggu...". Status di tabel tertulis "Pilih product". Setelah lunas (bukti 26 Okt 22.45), Proses Pembayaran, Lunas, Proses Administrasi, dan Selesai bertanggal sama "26 Okt, 22.45" padahal VA dibuat pukul 14.53. Akibatnya, lama tahap pembayaran tidak terbaca (pola yang sama dengan temuan #23). Progres pelanggan hanya menampilkan delapan tahap karena Verifikasi Anggota tidak tampil.</t>
  </si>
  <si>
    <t>Pelanggan (Progres Registrasi Anda) dan operator (Detail Pendaftar) melihat IDDS Stepper sembilan tahap dari data yang sama. Tahap Proses Pembayaran bertanda "Sedang berjalan sejak 26 Okt 2026, 14.53" begitu VA dibuat. Sebelum VA dibuat, tahap itu bertanda "Menunggu tagihan dibuat". Tagihan kedaluwarsa atau gagal ditandai "Tertahan" beserta sebabnya. Proses Administrasi bertanda "Dimulai otomatis setelah lunas". Waktu tahap dicatat saat kejadian: Proses Pembayaran mulai saat VA dibuat dan selesai saat bank mengonfirmasi, sehingga tahap tidak lagi bertanggal sama. Progres pelanggan menampilkan sembilan tahap, termasuk Verifikasi Anggota, sama dengan tampilan operator. Status pendaftar di tabel memakai nama tahap baku ("Pilih Produk"). Detail Transaksi memuat Riwayat Status tagihan yang sama dengan rekam jejak.</t>
  </si>
  <si>
    <t>Begitu VA dibuat, stepper pelanggan dan operator sama-sama menandai Proses Pembayaran "Sedang berjalan sejak …". Setiap tahap mencatat waktu kejadiannya sendiri, dan progres pelanggan menampilkan sembilan tahap termasuk Verifikasi Anggota.</t>
  </si>
  <si>
    <t>IDDS-OB-49</t>
  </si>
  <si>
    <t>Detail Transaksi: Waktu Pembuatan VA, Batas Waktu, dan Waktu Pembayaran terisi</t>
  </si>
  <si>
    <t>Modal Detail Transaksi Pembayaran ORD-ENTERPRISE-1793001177 menampilkan "Waktu Create VA: -" walaupun VA sudah dibuat (temuan #6). Baris lain berbunyi "Batas Waktu / Expired: 27 Okt 2026, 14.53", metode "VIRTUAL ACCOUNT (002)", paket "ENTERPRISE", dan nominal "Rp 1". Status tagihan tidak tampil di modal. Setelah lunas (26 Okt 22.45), "Waktu Create VA" tetap "-", dan baris Batas Waktu diganti "Waktu Pembayaran (Paid At): 26 Okt 2026, 22.45".</t>
  </si>
  <si>
    <t>Detail Transaksi Pembayaran menampilkan status tagihan sebagai lencana, "Waktu Pembuatan VA" (misalnya 26 Okt 2026, 14.53), "Batas Waktu" (24 jam sesudahnya), dan "Waktu Pembayaran" sesuai rekam jejak. Metode ditulis "Virtual Account BRI (002)", paket "Enterprise", dan nominal "Rp3.500.000". Nilai yang belum ada ditulis "Belum dibayar", bukan "-".</t>
  </si>
  <si>
    <t>Detail Transaksi menampilkan lencana status dan ketiga waktu (pembuatan VA, batas waktu, pembayaran) yang terisi sesuai rekam jejak. Tidak ada nilai "-", dan metode, paket, serta nominal ditulis baku.</t>
  </si>
  <si>
    <t>IDDS-OB-50</t>
  </si>
  <si>
    <t>Status Lunas hanya dari konfirmasi bank, tanpa tombol sandbox di layar aplikasi</t>
  </si>
  <si>
    <t>Modal Detail Transaksi menampilkan tombol hijau utama "Simulasikan Pembayaran Sukses" di samping "Tutup", tanpa penanda lingkungan uji dan tanpa konfirmasi. Dasbor pelanggan juga memuat tombol "SIMULASI BAYAR (KHUSUS SANDBOX)", dan tombol yang sama ada di kartu VA halaman Upgrade ke Enterprise (bukti 26 Okt 23.05). Setelah lunas (26 Okt 22.45), modal hanya menambah "Waktu Pembayaran (Paid At)" tanpa riwayat siapa atau apa yang mengubah status.</t>
  </si>
  <si>
    <t>Sesuai arahan, pembayaran tidak melalui admin: status Lunas hanya datang dari bank setelah pelanggan mentransfer ke VA. Tombol "Simulasikan Pembayaran Sukses" dihapus dari Detail Transaksi operator. Tombol "SIMULASI BAYAR (KHUSUS SANDBOX)" dihapus dari kartu VA pelanggan, baik di Dasbor (jalur Enterprise langsung) maupun di halaman Upgrade ke Enterprise (jalur Trial lalu Upgrade). Di lingkungan uji, transfer disimulasikan dari luar layar aplikasi. Di prototipe, tombol itu digantikan tombol bilah prototipe "Simulasikan Transfer dari Bank", sehingga pelakunya tercatat Bank, bukan Operator. Detail Transaksi operator hanya untuk melihat data. Halaman itu memuat Riwayat Status tagihan (waktu, pelaku, kejadian, catatan) yang sama dengan rekam jejak.</t>
  </si>
  <si>
    <t>Detail Transaksi operator, Dasbor pelanggan, dan halaman Upgrade ke Enterprise tidak memuat tombol yang dapat mengubah status menjadi Lunas. Riwayat Status tagihan mencatat Bank sebagai pelaku perubahan status menjadi Lunas.</t>
  </si>
  <si>
    <t>IDDS-OB-51</t>
  </si>
  <si>
    <t>Riwayat Transaksi dan tagihan bermasalah: status jelas dan jalan keluar</t>
  </si>
  <si>
    <t>Verifikasi Pembayaran memiliki saringan "Expired" (25) dan "Failed" (0), tetapi layar pelanggan untuk tagihan kedaluwarsa atau gagal tidak teramati. Kartu VA hanya bertuliskan "Lakukan transfer sebelum batas waktu habis." Setelah lunas, Riwayat Transaksi menampilkan metode "VIRTUAL_ACCOUNT" dan status "LUNAS" berhuruf kapital. Jatuh Tempo "27 Okt 2026, 14.53" tetap tampil walaupun tagihan sudah "Dibayar: 26 Okt 2026, 22.45".</t>
  </si>
  <si>
    <t>Bila batas waktu lewat, pelanggan melihat IDDS Alert "Tagihan kedaluwarsa" yang melarang transfer ke nomor lama. Alert itu memuat tombol "Buat Tagihan Baru" yang meminta konfirmasi. Tagihan lama tetap tercatat "Kedaluwarsa" di Riwayat Transaksi dan Verifikasi Pembayaran. Di Riwayat Transaksi, metode ditulis "Virtual Account BRI" dan status berupa lencana ("Lunas"). Untuk tagihan yang sudah dibayar, kolom Jatuh Tempo tetap ada tetapi berisi "Tidak berlaku (sudah dibayar)", dan waktu bayar tertulis di kolom Detail Transaksi. Bila bank menolak transfer, alert "Pembayaran gagal" menyebut alasannya. Tombol "Coba Lagi" mengembalikan tagihan ke "Belum Dibayar" selama belum kedaluwarsa.</t>
  </si>
  <si>
    <t>Tagihan kedaluwarsa menampilkan alert dengan tombol "Buat Tagihan Baru" yang meminta konfirmasi, dan tagihan lama tercatat "Kedaluwarsa" di sisi pelanggan dan operator. Tagihan gagal menampilkan alasan dan tombol "Coba Lagi", dan tagihan lunas berisi "Tidak berlaku (sudah dibayar)" di kolom Jatuh Tempo.</t>
  </si>
  <si>
    <t>IDDS-OB-52</t>
  </si>
  <si>
    <t>Ganti paket atau bank sebelum membayar dengan konfirmasi</t>
  </si>
  <si>
    <t>Setelah "Lanjut Pembayaran" ditekan, paket tidak dapat diganti. "Ganti bank pembayaran" langsung kembali ke pilihan bank tanpa menjelaskan nasib VA yang sudah terbit.</t>
  </si>
  <si>
    <t>Tombol "Ganti Paket" (Ringkasan Pesanan) dan "Ganti bank pembayaran" (kartu VA) membuka IDDS Modal Confirmation bila VA sudah terbit. Dialog menjelaskan bahwa tagihan lama dibatalkan dan tidak boleh ditransfer lagi. Tombol konfirmasi berwarna merah. Tagihan lama tercatat "Dibatalkan" di Riwayat Transaksi dan Verifikasi Pembayaran.</t>
  </si>
  <si>
    <t>Bila VA sudah terbit, "Ganti Paket" dan "Ganti bank pembayaran" memunculkan dialog konfirmasi bertombol merah. Setelah dikonfirmasi, tagihan lama tercatat "Dibatalkan" di Riwayat Transaksi dan Verifikasi Pembayaran.</t>
  </si>
  <si>
    <t>IDDS-OB-53</t>
  </si>
  <si>
    <t>Perpanjang Langganan: tombol Batal tidak membuat order</t>
  </si>
  <si>
    <t>Membuka Perpanjang Langganan lalu menekan "Batal" sudah membuat ORD-RENEW-1791789684 berstatus UNPAID tanpa nomor VA di Verifikasi Pembayaran. Order itu tidak tampil di Riwayat Transaksi pelanggan (temuan #5).</t>
  </si>
  <si>
    <t>Membuka halaman Perpanjang Langganan tidak membuat order. Halaman menjelaskan bahwa order perpanjangan baru dibuat saat pelanggan menekan "Buat Virtual Account". Menekan "Batal" kembali ke Riwayat Transaksi tanpa tagihan baru, sehingga Verifikasi Pembayaran tidak memuat order ORD-RENEW yang menggantung.</t>
  </si>
  <si>
    <t>Membuka Perpanjang Langganan lalu menekan "Batal" tidak menambah order apa pun di Verifikasi Pembayaran maupun Riwayat Transaksi. Order ORD-RENEW baru tercatat setelah "Buat Virtual Account" ditekan.</t>
  </si>
  <si>
    <t>IDDS-OB-54</t>
  </si>
  <si>
    <t>Tahap Selesai: status akun Aktif, tautan masuk, dan email tanpa kata sandi</t>
  </si>
  <si>
    <t>Setelah Selesai, lencana tetap "STATUS AKUN: ONBOARDING" dengan kalimat "Selesaikan langkah-langkah…" (temuan #3). Kartu "Aplikasi e-PPAT Anda Siap!" meminta "Cek email Anda untuk mendapatkan password login". Surel "Akun e-PPAT Anda Sudah Aktif" memuat PASSWORD dalam teks biasa (temuan #4), dan surel "Pembayaran Berhasil Diterima" menyapa dengan alamat email (temuan #10). Bukti 26 Okt 22.45: tahap Selesai berlabel "AKTIF", tetapi lencana tetap "STATUS AKUN: ONBOARDING". Kartu berbunyi "Cek email Anda untuk mendapatkan password login dan instruksi lengkap cara menggunakan Aplikasi e-PPAT Anda.". Fitur tertulis "1 PPAT, 1 Admin, &amp; up to 4 Asisten" dan "Dashboard Analitik Komprehensif", dengan "Berlaku hingga: 26 Oktober 2027". Surel "Pembayaran Berhasil Diterima" dan "Akun e-PPAT Anda Sudah Aktif" terkirim pada menit yang sama (22.45).</t>
  </si>
  <si>
    <t>Setelah tahap Selesai, lencana berubah menjadi "Status akun: Aktif" (hijau), dan kalimat pembuka menyatakan aplikasi kantor sudah aktif. Kartu "Aplikasi e-PPAT Anda Siap!" memuat alamat aplikasi dan tombol "Masuk ke Aplikasi e-PPAT". Email aktivasi berisi alamat aplikasi, email untuk masuk, dan tombol "Buat Kata Sandi" (tautan sekali pakai), tanpa kata sandi. Email "Pembayaran Berhasil Diterima" menyapa pelanggan dengan namanya. Fitur paket ditulis baku, yaitu "hingga 4 Asisten" dan "Dasbor Analitik Komprehensif", dengan masa berlaku "26 Okt 2027".</t>
  </si>
  <si>
    <t>Setelah tahap Selesai, lencana menampilkan "Status akun: Aktif" dan kartu memuat tombol "Masuk ke Aplikasi e-PPAT". Email aktivasi tidak memuat kata sandi, tetapi memuat tautan sekali pakai "Buat Kata Sandi".</t>
  </si>
  <si>
    <t>IDDS-OB-55</t>
  </si>
  <si>
    <t>Bantuan pembayaran di tampilan pelanggan dan operator</t>
  </si>
  <si>
    <t>Dasbor pelanggan maupun Verifikasi Pembayaran tidak memiliki panduan pembayaran atau kontak dukungan. Kartu "PAKET TRIAL AKTIF" tidak menjelaskan batas Trial atau akibat Trial berakhir.</t>
  </si>
  <si>
    <t>Tampilan Pelanggan dan Operator masing-masing memiliki Bantuan (IDDS Drawer) berisi penjelasan, langkah, arti status, pertanyaan umum dalam IDDS Accordion, dan kontak dukungan. Pertanyaan umum mencakup pembayaran yang belum lunas setelah transfer, batas waktu VA, salah nominal, ganti bank, kapan aplikasi aktif, apakah operator dapat menandai lunas di lingkungan uji, dan cara membaca rekam jejak. Bantuan pelanggan juga menjawab pertanyaan Trial: berapa lama Trial berlaku, apa batasnya, cara upgrade ke Enterprise, akibat Trial berakhir, dan apakah email aktivasi dikirim lagi setelah upgrade. Bantuan operator menjelaskan cara membaca data pelanggan Trial yang melakukan upgrade.</t>
  </si>
  <si>
    <t>Bantuan pelanggan dan Bantuan operator masing-masing membuka IDDS Drawer dengan sedikitnya tujuh pertanyaan umum tentang pembayaran. Bantuan pelanggan juga menjawab lima pertanyaan Trial yang disebut dalam usulan.</t>
  </si>
  <si>
    <t>IDDS-OB-56</t>
  </si>
  <si>
    <t>Paket Trial aktif: sisa masa, tanggal berakhir, batas paket, dan jalan Upgrade</t>
  </si>
  <si>
    <t>Kartu Trial bertuliskan "Free", "User Maksimal 5", dan "30 Hari Free Trial", dengan tombol "Aktifkan Trial Gratis". Satu klik langsung mengaktifkan Trial dan menampilkan "PAKET TRIAL AKTIF", "Nikmati fitur e-PPAT secara gratis", serta "Sisa masa trial Anda" 29 HARI 23 JAM 59 MENIT 53 DETIK. Kartu juga menampilkan "Berakhir: 25 November 2026 pukul 23.03 WIB", kartu "Upgrade ke Enterprise", dan tombol "Upgrade Sekarang". Lencana tetap "STATUS AKUN: ONBOARDING", dan kalimat pembuka tetap "Selesaikan langkah-langkah di bawah ini untuk mengaktifkan akun PPAT Enterprise Anda." walaupun Trial sudah aktif. Batas Trial dan akibat Trial berakhir tidak dijelaskan.</t>
  </si>
  <si>
    <t>Bila Trial dipilih, tombol berlabel "Aktifkan Trial Gratis" seperti di live. Harga ditulis "Gratis", dan batas pengguna ditulis "Pengguna Maksimal 5". Setelah Trial aktif, lencana menjadi "Status akun: Trial aktif". Kalimat pembuka menyebut Trial beserta tanggal berakhirnya, bukan "akun PPAT Enterprise". Kartu "Paket Trial aktif" memuat hitung mundur Hari, Jam, Menit, dan Detik (pengatur waktu IDDS yang tidak dibacakan setiap detik) serta "Berakhir: 25 Nov 2026, 14.52 WIB". Kartu juga memuat batas paket (10 transaksi, semua menu, pengguna maksimal 5) dan bagian "Upgrade ke Enterprise" dengan tombol "Upgrade Sekarang". Bila tagihan upgrade sudah dibuat, tombol berganti menjadi "Lanjutkan Upgrade", dan kartu menyatakan Trial tetap berjalan sampai pembayaran diterima. Akibat Trial berakhir dijelaskan di Bantuan.</t>
  </si>
  <si>
    <t>Setelah Trial aktif, lencana menampilkan "Status akun: Trial aktif", dan kartu Trial menampilkan sisa masa, tanggal berakhir, batas paket, serta tombol "Upgrade Sekarang". Hitung mundur tidak dibacakan setiap detik, dan tombol berganti menjadi "Lanjutkan Upgrade" bila tagihan upgrade sudah dibuat.</t>
  </si>
  <si>
    <t>IDDS-OB-57</t>
  </si>
  <si>
    <t>Upgrade ke Enterprise: remah Beranda, Ringkasan Pesanan, dan Progres Upgrade</t>
  </si>
  <si>
    <t>Halaman /upgrade-to-enterprise memakai remah "Home › Upgrade ke Enterprise" dan subjudul "Selesaikan pembayaran untuk melanjutkan akses penuh e-PPAT.". Baris "Akun:" berisi email akun. Bagian "Ringkasan Pesanan — Detail paket berlangganan yang Anda pilih." menampilkan Enterprise "AKSES PENUH" "Rp 1". Bagian "Pilih Metode Pembayaran — Pilih metode untuk membayar tagihan Anda." memuat Virtual Account, QRIS "COMING SOON", dan Transfer Bank "COMING SOON". Halaman tidak menyebut nasib Trial selama upgrade dan tidak menampilkan progres upgrade.</t>
  </si>
  <si>
    <t>Halaman Upgrade ke Enterprise memakai remah "Beranda › Upgrade ke Enterprise", subjudul satu kalimat, dan email akun ("Akun: calon.satu@contoh.id"). Ringkasan Pesanan menampilkan paket Enterprise "Rp3.500.000" dan tombol "Kembali ke Dasbor". Ringkasan juga mencatat bahwa Trial tetap berjalan sampai pembayaran diterima serta data dan alamat aplikasi tidak berubah. Progres Upgrade menunjukkan posisi pelanggan dengan IDDS Stepper empat tahap: Upgrade dimulai, Proses Pembayaran, Lunas, dan Enterprise aktif. Pilihan metode dan bank sama dengan IDDS-OB-46: QRIS dan Transfer Bank nonaktif dengan alasan, daftar bank tanpa QRIS, dan BRI terpilih otomatis.</t>
  </si>
  <si>
    <t>Halaman Upgrade ke Enterprise menampilkan remah yang diawali "Beranda", catatan bahwa Trial tetap berjalan sampai pembayaran diterima, dan stepper Progres Upgrade empat tahap. Pilihan metode dan bank berperilaku sama dengan IDDS-OB-46.</t>
  </si>
  <si>
    <t>IDDS-OB-58</t>
  </si>
  <si>
    <t>Cek Status Pembayaran: hasil lengkap dan pesan berhasil setelah bayar</t>
  </si>
  <si>
    <t>Di halaman Upgrade, kartu "BRI Virtual Account · Pembayaran Terverifikasi" menampilkan hitung mundur "23:59:54", "Berlaku sampai 27 Okt, 23.05" tanpa tahun, dan label "Reference". Kartu juga memuat tombol "Cek Status Pembayaran", "SIMULASI BAYAR (KHUSUS SANDBOX)", dan "Ganti bank pembayaran". Menekan Cek Status Pembayaran hanya memunculkan kotak "Pembayaran belum terdeteksi. Silakan transfer terlebih dahulu." tanpa jam pengecekan atau perkiraan waktu verifikasi. Setelah dibayar (23.06), halaman langsung pindah ke Dasbor tanpa pesan berhasil. Kartu berganti menjadi "PAKET ENTERPRISE AKTIF" dan "Berlaku hingga: 26 Oktober 2027".</t>
  </si>
  <si>
    <t>Cek Status Pembayaran menampilkan indikator memuat saat memeriksa. Setelah itu, IDDS Alert "Belum ada pembayaran masuk" tampil beserta jam pengecekan dan perkiraan verifikasi (paling lama 10 menit setelah transfer), lalu diumumkan ke pembaca layar. Tagihan menulis batas waktu lengkap dengan tahun ("27 Okt 2026, 14.54") dan label "Referensi". Setelah bank mengonfirmasi, pelanggan kembali ke Dasbor dengan IDDS Alert sukses "Pembayaran berhasil. Paket Enterprise aktif". Alert itu berisi nomor order, nominal, waktu bayar, dan masa berlaku. Kartu sisa masa Trial diganti kartu "Paket Enterprise aktif" dengan "Berlaku hingga 26 Okt 2027". Tombol "SIMULASI BAYAR (KHUSUS SANDBOX)" tidak ada di layar pelanggan. Di prototipe, transfer disimulasikan lewat tombol bilah prototipe "Simulasikan Transfer dari Bank" (pelaku Bank).</t>
  </si>
  <si>
    <t>Cek Status menampilkan indikator memuat, lalu hasil berisi jam pengecekan dan perkiraan verifikasi yang diumumkan ke pembaca layar. Setelah bank mengonfirmasi, Dasbor menampilkan alert "Pembayaran berhasil. Paket Enterprise aktif" berisi nomor order, nominal, waktu bayar, dan masa berlaku.</t>
  </si>
  <si>
    <t>IDDS-OB-59</t>
  </si>
  <si>
    <t>Riwayat Transaksi: Trial dan Upgrade tercatat dengan nama yang benar</t>
  </si>
  <si>
    <t>Setelah upgrade, Riwayat Transaksi hanya berisi "ORD-RENEW-1793030676". Upgrade tercatat sebagai perpanjangan, dan Trial tidak tercatat. Metode tertulis "VIRTUAL_ACCOUNT" dan status "LUNAS". Jatuh Tempo "27 Okt 2026, 23.05" tetap tampil walaupun tagihan sudah "Dibayar: 26 Okt 2026, 23.06".</t>
  </si>
  <si>
    <t>Riwayat Transaksi memuat baris Trial (ORD-TRIAL-…) dengan "Paket Trial 30 hari", metode "Gratis", "Rp0", Jatuh Tempo "Tidak berlaku (gratis)", dan lencana "Gratis". Keterangannya menyebut tanggal berakhir atau tanggal diganti Enterprise. Baris ORD-UPGRADE-… berketerangan "Upgrade ke Enterprise", bukan perpanjangan. Metode ditulis "Virtual Account BRI", status berupa lencana "Lunas", dan Jatuh Tempo berisi "Tidak berlaku (sudah dibayar)". Di sisi operator, Verifikasi Pembayaran memuat order yang sama, dan Detail Transaksi menulis Jenis Order "Upgrade dari Trial ke Enterprise".</t>
  </si>
  <si>
    <t>Riwayat Transaksi memuat baris ORD-TRIAL-… dan baris ORD-UPGRADE-… berketerangan "Upgrade ke Enterprise", bukan ORD-RENEW. Detail Transaksi operator menulis Jenis Order "Upgrade dari Trial ke Enterprise".</t>
  </si>
  <si>
    <t>IDDS-OB-60</t>
  </si>
  <si>
    <t>Trial dan Upgrade: stepper urut waktu, lencana status akun, dan email aktivasi tidak ganda</t>
  </si>
  <si>
    <t>Stepper awal melompat dari tahap 3 (Login Pertama) ke tahap 5 (Pilih Produk) karena Verifikasi Anggota tidak tampil. Saat Trial aktif, Pilih Produk, Proses Administrasi, dan Selesai semuanya bertanggal "26 Okt, 23.03", sedangkan Proses Pembayaran dan Lunas hilang dari stepper. Setelah upgrade, Proses Pembayaran dan Lunas "26 Okt, 23.06" tampil sebelum Proses Administrasi dan Selesai "26 Okt, 23.03", sehingga urutan waktu terbalik. Lencana tetap "STATUS AKUN: ONBOARDING" saat Trial maupun setelah Enterprise aktif. Email "Akun e-PPAT Anda Sudah Aktif" terkirim dua kali, yaitu pukul 23.03 (Trial) dan 23.06 (Enterprise), bersama "Pembayaran Berhasil Diterima" pukul 23.06. Kartu tetap bertuliskan "Cek email Anda untuk mendapatkan password login".</t>
  </si>
  <si>
    <t>Progres Registrasi tetap sembilan tahap, termasuk Verifikasi Anggota. Saat Trial, Proses Pembayaran dan Lunas bertanda "Tidak perlu (Trial gratis)", sedangkan Proses Administrasi dan Selesai tercatat pada waktu Trial aktif. Pembayaran upgrade dicatat di Progres Upgrade tersendiri (Upgrade dimulai, Proses Pembayaran, Lunas, Enterprise aktif), sehingga waktu di setiap stepper selalu urut. Lencana berubah sesuai keadaan: "Status akun: Onboarding", lalu "Status akun: Trial aktif", lalu "Status akun: Aktif". Email "Akun e-PPAT Anda Sudah Aktif" (tautan Buat Kata Sandi, tanpa kata sandi) hanya dikirim sekali saat Trial aktif. Saat upgrade, hanya email "Pembayaran Berhasil Diterima" yang dikirim. Email itu menyatakan paket Enterprise aktif serta alamat aplikasi dan kata sandi tidak berubah. Operator melihat Riwayat Tahap, Paket Langganan, dan Progres Upgrade yang sama di Detail Pendaftar.</t>
  </si>
  <si>
    <t>Waktu di Progres Registrasi dan Progres Upgrade selalu urut, dan lencana berganti dari Onboarding ke Trial aktif lalu Aktif. Email "Akun e-PPAT Anda Sudah Aktif" terkirim sekali saja, dan saat upgrade hanya email "Pembayaran Berhasil Diterima" yang dikirim.</t>
  </si>
  <si>
    <t>Ringkasan backlog</t>
  </si>
  <si>
    <t>Angka dihitung otomatis dengan rumus dari sheet Usulan HE dan Penyesuaian IDDS.</t>
  </si>
  <si>
    <t>Usulan HE</t>
  </si>
  <si>
    <t>IDDS Tenant</t>
  </si>
  <si>
    <t>IDDS Platform</t>
  </si>
  <si>
    <t>IDDS Onboarding</t>
  </si>
  <si>
    <t>Total</t>
  </si>
  <si>
    <t>Usulan</t>
  </si>
  <si>
    <t>Disetujui</t>
  </si>
  <si>
    <t>Dikerjakan developer</t>
  </si>
  <si>
    <t>Selesai</t>
  </si>
  <si>
    <t>Ditunda</t>
  </si>
  <si>
    <t>Fitur / Menu</t>
  </si>
  <si>
    <t>Kelompok</t>
  </si>
  <si>
    <t>Jumlah</t>
  </si>
  <si>
    <t>Perkiraan kenaikan nilai HE bila prototipe diterapkan</t>
  </si>
  <si>
    <t>Laporan Heuristic Evaluation ePPAT (Tim Riset INA Digital, Oktober 2026) di UX Metric Lab; skor keseluruhan 58,3 = rata-rata skor 11 halaman.</t>
  </si>
  <si>
    <t>Halaman (laporan HE → nama menu baru)</t>
  </si>
  <si>
    <t>Skor HE sekarang</t>
  </si>
  <si>
    <t>Perkiraan batas bawah</t>
  </si>
  <si>
    <t>Perkiraan batas atas</t>
  </si>
  <si>
    <t>Kenaikan (batas bawah)</t>
  </si>
  <si>
    <t>Kenaikan (batas atas)</t>
  </si>
  <si>
    <t>Jenis penahan</t>
  </si>
  <si>
    <t>Yang menahan nilai di bawah batas atas</t>
  </si>
  <si>
    <t>E-Akta Wizard (PPAT) → Penandatanganan Akta</t>
  </si>
  <si>
    <t>Backend E-PPAT</t>
  </si>
  <si>
    <t>Backend E-PPAT: pindah otomatis ke halaman dokumen tempat tanda tangan dibubuhkan.</t>
  </si>
  <si>
    <t>Super Admin - Registrasi TERA</t>
  </si>
  <si>
    <t>Pihak ketiga (Peruri)</t>
  </si>
  <si>
    <t>Peruri: proses TERA masih manual sehingga perkiraan waktu resmi belum tersedia.</t>
  </si>
  <si>
    <t>E-Akta Wizard (Non-PPAT) → Penandatanganan Akta (Klien)</t>
  </si>
  <si>
    <t>Backend E-PPAT: pindah otomatis ke halaman tanda tangan dan tanda tangan beberapa dokumen sekaligus.</t>
  </si>
  <si>
    <t>Minuta Akta (PPAT &amp; Asisten) → Penyusunan Akta</t>
  </si>
  <si>
    <t>Backend E-PPAT: editor dinilai terlalu padat dan memiliki kurva belajar tinggi; fitur cek ejaan dan lampiran masih segera hadir.</t>
  </si>
  <si>
    <t>Penyusunan Akta (PPAT) v2 — usulan tampilan</t>
  </si>
  <si>
    <t>Backend E-PPAT (kecil)</t>
  </si>
  <si>
    <t>Tata letak editor ala pengolah kata menjawab temuan editor terlalu padat dan kurva belajar tinggi. Yang tersisa hanya fitur yang masih segera hadir (lampiran) dan pemotongan halaman yang harus sama dengan pembuat PDF.</t>
  </si>
  <si>
    <t>Super Admin - Order AJB → Permohonan AJB</t>
  </si>
  <si>
    <t>Backend E-PPAT: tambah pihak secara massal dan otomatisasi langkah manual.</t>
  </si>
  <si>
    <t>Super Admin - Verifikasi Akta → Verifikasi Berkas</t>
  </si>
  <si>
    <t>Tampilan</t>
  </si>
  <si>
    <t>Tidak ada penahan besar; bergantung pada penerapan utuh usulan tampilan.</t>
  </si>
  <si>
    <t>Registrasi CA</t>
  </si>
  <si>
    <t>Peruri: perkiraan waktu proses CA/eKYC dan notifikasi CA aktif bergantung pada data Peruri.</t>
  </si>
  <si>
    <t>Login (Onboarding)</t>
  </si>
  <si>
    <t>Tidak ada penahan besar.</t>
  </si>
  <si>
    <t>Backend E-PPAT: urutan waktu tahap, lencana status akun, dan email aktivasi tanpa kata sandi.</t>
  </si>
  <si>
    <t>Super Admin - Daftar User → Daftar Pengguna</t>
  </si>
  <si>
    <t>Rata-rata keseluruhan (11 halaman, dengan Penyusunan Akta lama)</t>
  </si>
  <si>
    <t>Skor keseluruhan HE saat ini 58,3 (kategori Perlu Perhatian).</t>
  </si>
  <si>
    <t>Rata-rata keseluruhan (11 halaman, dengan Penyusunan Akta v2)</t>
  </si>
  <si>
    <t>Alternatif bila Penyusunan Akta memakai tampilan v2.</t>
  </si>
  <si>
    <t>Yang menutupnya di prototipe</t>
  </si>
  <si>
    <t>Visibility of System Status</t>
  </si>
  <si>
    <t>Status tersimpan, stepper bernomor, status sistem dengan waktu pemeriksaan.</t>
  </si>
  <si>
    <t>Match Between System and the Real World</t>
  </si>
  <si>
    <t>Bahasa Indonesia baku; istilah CA, TERA, OTP, dan e-Meterai dijelaskan dengan ikon ?.</t>
  </si>
  <si>
    <t>User Control and Freedom</t>
  </si>
  <si>
    <t>Tombol Batal dan Kembali, peringatan sebelum meninggalkan perubahan, urungkan.</t>
  </si>
  <si>
    <t>Consistency and Standards</t>
  </si>
  <si>
    <t>Komponen IDDS seragam, sidebar dan header sama di semua halaman, label baku.</t>
  </si>
  <si>
    <t>Help Users Recognize, Diagnose, and Recover From Errors</t>
  </si>
  <si>
    <t>Pesan galat di bawah isian dengan cara memperbaiki.</t>
  </si>
  <si>
    <t>Error Prevention</t>
  </si>
  <si>
    <t>Konfirmasi aksi berdampak bertombol merah, validasi sebelum kirim, konfirmasi kuota.</t>
  </si>
  <si>
    <t>Recognition Rather Than Recall</t>
  </si>
  <si>
    <t>Variabel disorot, kertas sesuai hasil cetak, penanda variabel belum terisi.</t>
  </si>
  <si>
    <t>Flexibility and Efficiency of Use</t>
  </si>
  <si>
    <t>Cari, saring, dan urutkan; aksi massal dan otomatisasi bergantung pada backend.</t>
  </si>
  <si>
    <t>Aesthetic and Minimalist Design</t>
  </si>
  <si>
    <t>Tata letak lebih lega, aksi utama ditonjolkan, editor ala pengolah kata.</t>
  </si>
  <si>
    <t>Help and Documentation</t>
  </si>
  <si>
    <t>Bantuan, FAQ, kontak, dan ikon ? di setiap halaman.</t>
  </si>
  <si>
    <t>Privacy</t>
  </si>
  <si>
    <t>Email aktivasi tanpa kata sandi dalam teks biasa.</t>
  </si>
  <si>
    <t>Asumsi dan batasan perkiraan</t>
  </si>
  <si>
    <t>• Angka perkiraan adalah hitungan tim backlog, bukan penilaian evaluator. Nilai pasti hanya dapat diperoleh lewat evaluasi ulang oleh INA Digital dengan checklist yang sama.</t>
  </si>
  <si>
    <t>• Perkiraan dihitung dari jumlah butir gagal per prinsip di laporan HE dikalikan perkiraan porsi yang ditutup oleh usulan prototipe. Daftar butir checklist per halaman tidak tersedia.</t>
  </si>
  <si>
    <t>• Batas bawah mengasumsikan sekitar separuh usulan diterapkan persis seperti prototipe dan pekerjaan backend/pihak ketiga belum dikerjakan. Batas atas mengasumsikan semua usulan diterapkan utuh.</t>
  </si>
  <si>
    <t>• Penyusunan Akta (PPAT) v2 adalah alternatif tampilan untuk halaman Minuta Akta. Rata-rata keseluruhan dihitung dua kali: dengan prototipe Penyusunan Akta lama dan dengan v2.</t>
  </si>
  <si>
    <t>Riwayat perubahan</t>
  </si>
  <si>
    <t>Setiap perubahan usulan, penyesuaian, atau prototipe dicatat di sini. Catatan terbaru ada di baris paling bawah.</t>
  </si>
  <si>
    <t>Tanggal</t>
  </si>
  <si>
    <t>Perubahan</t>
  </si>
  <si>
    <t>Berkas</t>
  </si>
  <si>
    <t>HE-TERA-01 s.d. HE-TERA-07</t>
  </si>
  <si>
    <t>Usulan Registrasi TERA dibuat dari laporan HE hal. 20–22 beserta prototipe pertamanya (gaya live).</t>
  </si>
  <si>
    <t>prototipe/Backlog-HE-TERA-Prototype.html</t>
  </si>
  <si>
    <t>Perapian UI dan bahasa: label usulan disembunyikan (sakelar Tandai usulan), teks dipersingkat, dasbor mengikuti live, dan petunjuk hanya diberikan untuk isian yang rawan salah.</t>
  </si>
  <si>
    <t>Brand mode E-PPAT untuk IDDS dibuat (palet, token sidebar, mode gelap) beserta halaman pratinjau.</t>
  </si>
  <si>
    <t>brand-eppat-idds/; prototipe/Brand-Mode-EPPAT-IDDS.html</t>
  </si>
  <si>
    <t>Prototipe Registrasi TERA dipindahkan ke komponen IDDS dengan brand E-PPAT; sumber lama diarsipkan (sumber/tera-body-live-arsip.html).</t>
  </si>
  <si>
    <t>prototipe/Backlog-HE-TERA-Prototype.html; sumber/tera-idds.html</t>
  </si>
  <si>
    <t>Spreadsheet backlog dibuat.</t>
  </si>
  <si>
    <t>Backlog-HE-EPPAT-Peruri.xlsx</t>
  </si>
  <si>
    <t>HE-TERA-01, HE-TERA-05</t>
  </si>
  <si>
    <t>Usulan ditelusuri bersama laporan lengkap UX Metric Lab: letak pengingat TERA dikoreksi ke System › Dasbor (sesuai gambar bukti), dan bukti NIK tanpa validasi format ditambahkan.</t>
  </si>
  <si>
    <t>HE-UMUM-02, HE-TERA-07</t>
  </si>
  <si>
    <t>Pengecekan ulang terhadap laporan HE: tombol Bantuan berisi panduan dan kontak dukungan ditambahkan (HE-UMUM-02, kontak masih contoh), begitu pula perkiraan waktu di dialog konfirmasi (HE-TERA-07).</t>
  </si>
  <si>
    <t>Stepper tahapan dirapikan: keterangan perkiraan waktu dipindahkan ke dalam label IDDS Stepper agar sejajar di semua lebar layar; di ponsel dipakai IDDS Stepper Vertical.</t>
  </si>
  <si>
    <t>HE-ORDER-01 s.d. HE-ORDER-05, HE-UMUM-03</t>
  </si>
  <si>
    <t>Prototipe Order AJB dibuat dari laporan HE hal. 23–24 (gambar bukti dan kode live ditelusuri). Keputusan tim: status tidak berpindah otomatis, pihak ditambahkan langsung di dalam dialog, dan impor berkas dicatat untuk Daftar User (HE-UMUM-03). Bantuan Order AJB ditambahkan (HE-UMUM-02).</t>
  </si>
  <si>
    <t>prototipe/Backlog-HE-ORDER-Prototype.html; sumber/order-idds.html</t>
  </si>
  <si>
    <t>HE-ORDER-01 s.d. HE-ORDER-05, HE-UMUM-01</t>
  </si>
  <si>
    <t>Order AJB diperiksa ulang terhadap laporan HE dan IDDS: bagian buatan sendiri diganti komponen IDDS (Button Group, Text Area, Table, Checkbox, Pagination, panel Select Dropdown, Badge). Tooltip istilah ditambahkan (Tipe Pihak, Bentuk Pihak, Sumber Saksi, judul tab) sesuai temuan HE "tidak ada tooltip".</t>
  </si>
  <si>
    <t>Kerangka prototipe TERA dan Order AJB diubah ke pola IDDS: Sidebar &amp; Header (pola IDDS), Breadcrumb, dan Avatar. Kartu kantor menjadi IDDS Card, latar foto diganti background-secondary, dan kotak syarat Order AJB menjadi IDDS Alert dan Badge.</t>
  </si>
  <si>
    <t>prototipe/Backlog-HE-TERA-Prototype.html; prototipe/Backlog-HE-ORDER-Prototype.html</t>
  </si>
  <si>
    <t>Warna brand E-PPAT dikembalikan pada kerangka IDDS: sidebar hijau gelap, kartu kantor emas, latar dan watermark live, serta judul dan avatar hijau. eppat.css ditambah aksen komponen sehingga tautan, stepper, kotak centang, pagination, dan breadcrumb aktif berwarna hijau brand.</t>
  </si>
  <si>
    <t>brand-eppat-idds/eppat.css; prototipe/Backlog-HE-TERA-Prototype.html; prototipe/Backlog-HE-ORDER-Prototype.html</t>
  </si>
  <si>
    <t>Bantuan dipindahkan dari Modal ke IDDS Drawer (kanan; bottom sheet di ponsel), dan pertanyaan umum memakai IDDS Accordion sesuai panduan IDDS: Modal untuk satu tujuan singkat, Drawer untuk konten pendukung. Pintu masuk tetap di header.</t>
  </si>
  <si>
    <t>Tombol Bantuan dipindahkan dari header ke kanan judul setiap halaman agar jelas bahwa isinya milik halaman tersebut. Isi dibuat khusus per halaman (Dasbor, Akun Saya, Registrasi TERA, Order AJB); sebelumnya Bantuan di Dasbor menampilkan tautan TERA.</t>
  </si>
  <si>
    <t>Keterbacaan diperbaiki setelah pindah ke IDDS. Teks menu sidebar sempat hijau di atas latar gelap karena aturan warna tautan brand ikut mengenai menu; kini teks berwarna putih 80% dan menu aktif putih penuh. Teks berwarna yang kontrasnya di bawah WCAG AA 4,5:1 diganti corak lebih gelap dari warna yang sama, yaitu label langkah stepper yang belum aktif, tanda wajib *, placeholder pilihan, judul Alert kuning/biru, catatan kaki sidebar, dan tombol hapus. Uji kontras otomatis kini lulus di 7 layar.</t>
  </si>
  <si>
    <t>brand-eppat-idds/eppat.css; prototipe/Backlog-HE-TERA-Prototype.html; prototipe/Backlog-HE-ORDER-Prototype.html; prototipe/Brand-Mode-EPPAT-IDDS.html</t>
  </si>
  <si>
    <t>HE-MINUTA-01…06</t>
  </si>
  <si>
    <t>Prototipe Drafting Minuta Akta (laporan HE hal. 25–27, peran Asisten) dibuat dengan IDDS dan brand E-PPAT, berisi 6 usulan baru HE-MINUTA-01…06. Bantuan halaman (HE-UMUM-02) dan komponen IDDS (HE-UMUM-01) juga diterapkan di Minuta.</t>
  </si>
  <si>
    <t>prototipe/Backlog-HE-MINUTA-Prototype.html; sumber/minuta-idds.html; prototipe/index.html</t>
  </si>
  <si>
    <t>Audit IDDS Minuta Akta: bagian yang masih dibuat sendiri diganti komponen IDDS. Kolom cari menjadi Input Search; panel Sisipkan Variabel menjadi Select Dropdown (panel, pencarian, opsi, keadaan kosong); menu Lainnya menjadi Action Dropdown; tombol bilah alat dan hapus pasal menjadi Button tertiary/secondary sm; label variabel menjadi Badge soft brand/warning; "Tampilkan kode variabel" menjadi Toggle; tombol memuat menjadi Spinner; hasil Cek Ejaan menjadi Card; konfirmasi hapus dan perubahan belum disimpan menjadi Modal Confirmation. Markup mengikuti struktur resmi (wadah .ina-action-dropdown / .ina-select-dropdown wajib ada).</t>
  </si>
  <si>
    <t>sumber/minuta-badan.html; prototipe/Backlog-HE-MINUTA-Prototype.html</t>
  </si>
  <si>
    <t>HE-EAW-01…06</t>
  </si>
  <si>
    <t>Prototipe E-Akta Wizard (PPAT) dibuat dari laporan HE hal. 28–30 (skor 36,2) dengan IDDS dan brand E-PPAT: 5 usulan dari laporan ditambah HE-EAW-06 dari penelusuran live order uji ORD-261023-001 (PPAT belum memiliki CA). Bantuan halaman (HE-UMUM-02) dan IDDS (HE-UMUM-01) juga diterapkan. Di eppat.css, teks pesan galat One-Time Password memakai negative-600 agar kontras.</t>
  </si>
  <si>
    <t>prototipe/Backlog-HE-EAW-Prototype.html; sumber/eaw-idds.html; brand-eppat-idds/eppat.css; prototipe/index.html</t>
  </si>
  <si>
    <t>HE-ORDER-06…08</t>
  </si>
  <si>
    <t>Order AJB ditelusuri di live dengan order uji ORD-261023-001 (Asisten → Verifikasi → Minuta → E-Akta Wizard) atas izin pengguna. Tiga usulan baru ditambahkan ke prototipe Order AJB: kontak dan NIK di tabel Para Pihak, formulir objek satu tampilan dengan isian wajib dan harga, serta syarat Drafting (3 verifikasi) dan Selesai (minuta final). Temuan di Verifikasi (Cek CA lambat, harga "-") dicatat untuk fitur Verifikasi.</t>
  </si>
  <si>
    <t>prototipe/Backlog-HE-ORDER-Prototype.html; sumber/order-idds.html; sumber/temuan-live-order-eaw.md</t>
  </si>
  <si>
    <t>Audit ulang E-Akta Wizard. (1) HE: semua temuan hal. 28–30 dan catatan prinsip UX Metric Lab tercakup, yaitu istilah, batas waktu OTP di layar, pesan OTP spesifik, konfirmasi aksi yang tidak dapat dibatalkan, perpindahan langkah otomatis, dan bantuan. (2) IDDS: pil hitung mundur OTP menjadi Badge, pesan berhasil menjadi Alert success, nomor halaman menjadi Text Field, dan kartu penanda tangan menjadi Card. (3) Bahasa (KBBI/EYD V, SPOK): "penanda-tangan" menjadi "penanda tangan"; "punya/dulu/bisa" menjadi "memiliki/terlebih dahulu/dapat"; "dipindah" menjadi "dipindahkan"; kalimat tanpa subjek diperbaiki; informasi ganda dihapus; ejaan live "E-Materai" dicatat salah eja (baku: meterai). Uji kontras kini juga memeriksa nilai di dalam kotak isian.</t>
  </si>
  <si>
    <t>sumber/eaw-badan.html; prototipe/Backlog-HE-EAW-Prototype.html</t>
  </si>
  <si>
    <t>HE-CA-01…06</t>
  </si>
  <si>
    <t>Prototipe Registrasi CA (Klien) dibuat dari laporan HE hal. 34–35 (skor 54,8) dengan IDDS dan brand E-PPAT. Sebelumnya, live ditelusuri pada tiga kondisi (belum terdaftar: PPAT; sedang diproses: Asisten; aktif: Klien) dan dengan akun uji yopmail dari pengguna (kotak masuk masih kosong karena belum mengajukan). Audit 3 lapis (HE, IDDS, bahasa) dijalankan sebelum dilaporkan, dan HE-CA-06 ditambahkan karena skor H9 bernilai 0.</t>
  </si>
  <si>
    <t>prototipe/Backlog-HE-CA-Prototype.html; sumber/ca-idds.html; prototipe/index.html</t>
  </si>
  <si>
    <t>eppat.css: semua teks pesan galat IDDS (Text Field, Text Area, Phone Input, One-Time Password, File Upload) memakai negative-600 karena kontras warna bawaan #f02d2d hanya 4,1:1. Kotak pesan galat File Upload yang kosong disembunyikan. Uji kontras kini mencakup 31 layar di 5 prototipe.</t>
  </si>
  <si>
    <t>brand-eppat-idds/eppat.css; semua prototipe dirakit ulang</t>
  </si>
  <si>
    <t>HE-CA-01…05</t>
  </si>
  <si>
    <t>Pengajuan CA ditelusuri dari awal sampai akhir di dev atas izin pengguna (data contoh boleh dipakai). Akun uji ca-user-eppat@yopmail.com diisi data contoh bertanda uji (foto "KTP CONTOH – DATA UJI"), lalu Registrasi CA diajukan hingga berstatus Sedang Diproses. Portal Peruri staging terbuka (6 tahap, bahasa Inggris bawaan), dan email "Digital Certificate Onboarding Invitation" diterima. Penelusuran berhenti sebelum OTP SMS karena nomornya fiktif. Teks prototipe disesuaikan dengan alur nyata portal Peruri (bukan hanya OTP dan swafoto), dan tab Akun Saya diseragamkan dengan prototipe TERA (selebar halaman, ikon dan subjudul live).</t>
  </si>
  <si>
    <t>prototipe/Backlog-HE-CA-Prototype.html; sumber/ca-idds.html</t>
  </si>
  <si>
    <t>Prototipe Registrasi CA dikoreksi atas masukan pengguna. Tab Data Diri (KTP) yang sebelumnya diringkas menjadi 3 baris dan panel kini menjadi formulir lengkap seperti live: 17 isian, NIK mengisi tanggal lahir dan jenis kelamin otomatis, IDDS File Upload untuk foto KTP, dan tombol Simpan Data Diri. Tab Akun memakai pola Identitas Akun yang sama dengan prototipe TERA, ditambah Ubah Data dengan pesan galat nomor HP di dekat isian. Tab Keamanan mengikuti live Klien ("Ganti Password", "Sesi Aktif"). Modal "Lengkapi Data Diri" saat masuk ditambahkan seperti live, dengan daftar yang diselaraskan dengan syarat CA (ditambah alamat).</t>
  </si>
  <si>
    <t>Tab Data Diri menjadi satu-satunya tempat mengisi data CA (nomor HP dipindahkan dari tab Akun). Isian dikelompokkan seperti KTP, diberi penanda wajib/opsional dan alert "n dari 6 isian wajib terisi", serta dijaga dari perubahan yang belum disimpan. Panel samping "Lengkapi data" dihapus dan diganti pengalihan langsung ke tab Data Diri.</t>
  </si>
  <si>
    <t>prototipe/Backlog-HE-CA-Prototype.html; sumber/ca-badan.html</t>
  </si>
  <si>
    <t>Tab Akun dan Keamanan diseragamkan (pola kartu, bahasa Indonesia, IDDS Password Input). Syarat kata sandi diseragamkan dengan layar ganti kata sandi sementara di live, yaitu minimal 12 karakter dengan huruf besar, huruf kecil, angka, dan simbol, dalam bentuk daftar centang.</t>
  </si>
  <si>
    <t>Kontras teks IDDS di mode brand diperbaiki (brand-eppat-idds/eppat.css): teks pesan galat memakai negative-600, teks bantuan peringatan memakai warning-600, dan tanda * wajib memakai negative-600 sehingga semuanya lulus WCAG 4,5:1.</t>
  </si>
  <si>
    <t>brand-eppat-idds/eppat.css; semua prototipe</t>
  </si>
  <si>
    <t>Kartu kantor di sidebar disamakan dengan live di semua prototipe (TERA, Order AJB, Minuta, E-Akta Wizard, Registrasi CA): setiap baris diberi ikon (SK, wilayah, telepon), dan baris alamat ditambahkan.</t>
  </si>
  <si>
    <t>semua prototipe; sumber/kartu-kantor-live.js</t>
  </si>
  <si>
    <t>HE-EAWK-01–07</t>
  </si>
  <si>
    <t>Prototipe E-Akta Wizard (Klien) dibuat dari laporan HE hal. 36–38, gambar bukti UX Metric Lab, serta kode dan layar live akun Klien (6 status: Menunggu stempel PPAT, Menunggu giliran, Giliran Anda, OTP terkirim, Sudah Anda tanda tangani, Selesai). Kerangka disalin dari prototipe Registrasi CA; penampil PDF, konfirmasi, dan dialog OTP disalin dari prototipe E-Akta Wizard PPAT. Bantuan halaman (HE-UMUM-02) dan IDDS (HE-UMUM-01) ikut diterapkan.</t>
  </si>
  <si>
    <t>prototipe/Backlog-HE-EAWK-Prototype.html; sumber/eawk-badan.html</t>
  </si>
  <si>
    <t>HE-EAWK, HE-UMUM-01</t>
  </si>
  <si>
    <t>Audit ulang E-Akta Wizard (Klien): tiga langkah di kartu Langkah berikutnya diganti IDDS Stepper vertikal (garis penghubung menyambung, judul tebal), dan tombol kontak kantor memakai IDDS Button. Label status dibakukan menjadi "Sudah menandatangani" / "Sedang menandatangani" (live: "Tertanda tangan" / "Sedang tanda tangan"). Kata "berlencana" diganti "bertanda", dan "&amp;" dalam kalimat diganti "dan".</t>
  </si>
  <si>
    <t>Ejaan tombol dialog OTP tanda tangan dibakukan: "Verifikasi &amp; Tandatangani" (live) menjadi "Verifikasi &amp; Tanda Tangani" (EYD: gabungan kata yang hanya mendapat akhiran ditulis terpisah).</t>
  </si>
  <si>
    <t>prototipe/Backlog-HE-EAW-Prototype.html; sumber/eaw-badan.html</t>
  </si>
  <si>
    <t>Keterangan status OTP terkirim di daftar akta diganti dari "Lanjutkan validasi OTP &amp; tanda tangan." (live) menjadi "Masukkan kode OTP untuk menandatangani."</t>
  </si>
  <si>
    <t>HE-VERIF-01–05</t>
  </si>
  <si>
    <t>Prototipe Verifikasi Akta dibuat dari laporan lengkap HE di UX Metric Lab (Highlight #5, skor 54,5) beserta gambar buktinya, serta kode dan layar live akun Asisten (daftar, tab Para Pihak/Objek Tanah/Harga Tanah, isian, tombol, dan pesan). Data contoh sama dengan prototipe Order AJB, yaitu ORD-CONTOH-003 berstatus Siap dengan verifikasi para pihak selesai. Bantuan halaman (HE-UMUM-02) dan IDDS (HE-UMUM-01) juga diterapkan.</t>
  </si>
  <si>
    <t>prototipe/Backlog-HE-VERIF-Prototype.html; sumber/verif-badan.html</t>
  </si>
  <si>
    <t>HE-USER-01–04, HE-UMUM-03</t>
  </si>
  <si>
    <t>Prototipe Daftar User dibuat dari laporan lengkap HE di UX Metric Lab (Highlight #9, skor 79,5) beserta gambar buktinya dan kode live (daftar, saringan, menu aksi, Tambah/Ubah User, Reset Password, Tangguhkan/Aktifkan). Data contoh sama dengan prototipe lain, dan HE-UMUM-03 (impor berkas) kini memiliki prototipe. Warna pesan galat Password Input dipertegas di eppat.css karena selektor IDDS lebih spesifik (kontras 4,1:1 menjadi lulus). Data Verifikasi diselaraskan sehingga pembeli dengan CA yang sedang diproses kini Contoh Pembeli Tiga. Sidebar semua prototipe kantor menautkan Daftar User.</t>
  </si>
  <si>
    <t>prototipe/Backlog-HE-USER-Prototype.html; sumber/user-badan.html; brand-eppat-idds/eppat.css</t>
  </si>
  <si>
    <t>HE-REG-01–04, HE-LOGIN-01–04</t>
  </si>
  <si>
    <t>Prototipe Platform Onboarding (Registrasi dan Masuk, termasuk verifikasi dua langkah dan kode cadangan) dibuat dari laporan lengkap HE di UX Metric Lab (Highlight #11 dan #7) beserta gambar buktinya, serta layar live dev.eppat.id/register dan /login (hanya dilihat). Aset latar dan logo diambil dari dev.eppat.id. Dashboard (Onboarding) menyusul setelah akun uji tersedia.</t>
  </si>
  <si>
    <t>prototipe/Backlog-HE-ONBOARDING-Prototype.html; sumber/onboard-badan.html; sumber/rakit-onboarding.js</t>
  </si>
  <si>
    <t>HE-CA-08, HE-USER-03</t>
  </si>
  <si>
    <t>Koreksi catatan: halaman Registrasi (Onboarding) live ternyata sudah memakai syarat kata sandi 12 karakter dengan huruf besar, huruf kecil, angka, dan simbol. Syarat minimal 8 karakter hanya tersisa pada "Password Awal" di Tambah User (dan tab Keamanan lama).</t>
  </si>
  <si>
    <t>HE-OB-01–05</t>
  </si>
  <si>
    <t>Layar Dashboard (Onboarding) ditambahkan ke prototipe Onboarding dari bukti HE (Highlight #8) dan penelusuran live atas izin pengguna. Akun uji onboarding-user-eppat@yopmail.com didaftarkan dengan data contoh, email diverifikasi, MFA Email OTP diaktifkan, paket Enterprise dipilih, dan Virtual Account BRI dibuat. Pembayaran yang dilakukan pengguna melalui simulator belum terdeteksi di dev ("Pembayaran belum terdeteksi"), sehingga tahap setelah lunas dibuat dari bukti HE. Registrasi dilengkapi info otomatis NIK, halaman "Cek Email Anda" dengan "Kirim Ulang Email", dan halaman "Verifikasi Berhasil!" sesuai live.</t>
  </si>
  <si>
    <t>prototipe/Backlog-HE-ONBOARDING-Prototype.html; sumber/onboard-badan.html</t>
  </si>
  <si>
    <t>HE-UMUM-01 (Onboarding)</t>
  </si>
  <si>
    <t>Audit ulang prototipe Onboarding: dua stepper (alur pendaftaran dan 9 tahap Dashboard) diganti IDDS Stepper, pilihan paket dan bank diganti IDDS Radio Button, serta kartu metode MFA dan metode pembayaran memakai IDDS Card. Bahasa dibakukan: Login → Masuk, Register → Daftar, Username → Nama Pengguna, Login Pertama → Masuk Pertama, Customer → Pelanggan, No Rekening → Nomor Rekening, Tanggal lahir → Tanggal Lahir, dan placeholder "anda" → "Anda".</t>
  </si>
  <si>
    <t>prototipe/Backlog-HE-ONBOARDING-Prototype.html; sumber/onboard-badan.html; sumber/onboard-audit.js</t>
  </si>
  <si>
    <t>Daftar E-Akta Wizard (PPAT) diberi IDDS Input Search dan saringan per langkah, sesuai rekomendasi umum laporan HE hal. 40 no. 5.</t>
  </si>
  <si>
    <t>prototipe/Backlog-HE-EAW-Prototype.html; sumber/eaw-badan.html; sumber/eaw-cari.js</t>
  </si>
  <si>
    <t>HE-UMUM-01 (Order AJB)</t>
  </si>
  <si>
    <t>Kolom cari daftar Order AJB diganti dari Text Field berikon menjadi IDDS Input Search (placeholder "Cari kode atau narahubung…", tombol hapus bawaan), sama dengan Minuta, Verifikasi, dan E-Akta Wizard. Perubahan ini sebelumnya ditahan atas permintaan pengguna dan kini dikerjakan atas instruksi pengguna pada 26 Okt 2026.</t>
  </si>
  <si>
    <t>IDDS-TN-01–06</t>
  </si>
  <si>
    <t>Prototipe penyesuaian IDDS tenant Masuk &amp; Daftar dibuat dari layar dan kode live dev-app.eppat.id/t/default (hanya dilihat; formulir Daftar tidak dikirim karena OTP juga dikirim ke WhatsApp). Prototipe mencakup Masuk, Verifikasi 2 Faktor, Ganti Kata Sandi sementara, Daftar, Verifikasi OTP email dan WhatsApp, serta Akun Aktif. Temuan tambahan di beranda tenant: tautan email "ippat.pengurus@yahoo.com" mengarah ke mailto:surat@atrbpn.go.id.</t>
  </si>
  <si>
    <t>prototipe/Backlog-IDDS-TN-MASUK-Prototype.html; sumber/tn-masuk-badan.html</t>
  </si>
  <si>
    <t>Kontras judul IDDS Alert critical diperbaiki di eppat.css (#f02d2d 3,6:1 menjadi negative-600). Prototipe yang memakai alert critical dirakit ulang: Onboarding, Verifikasi, Minuta, serta Tenant Masuk &amp; Daftar.</t>
  </si>
  <si>
    <t>Hitung mundur masa berlaku OTP per kanal (Email, WhatsApp) ditambahkan pada Verifikasi OTP pendaftaran tenant, mengikuti pola HE-LOGIN-01, HE-EAW-04, dan HE-EAWK-05. Jeda Kirim ulang kini tampil sejak layar OTP dibuka. Durasi 5 menit adalah angka contoh.</t>
  </si>
  <si>
    <t>IDDS-TN-08–16</t>
  </si>
  <si>
    <t>Prototipe penyesuaian IDDS menu System tenant (Dasbor, Peran &amp; Izin, Pengaturan, Logs) dibuat dari kode live dev-app.eppat.id/t/default, dengan Bantuan per halaman sesuai usulan HE-UMUM-02. Daftar User memakai prototipe HE yang sudah ada.</t>
  </si>
  <si>
    <t>prototipe/Backlog-IDDS-TN-SYSTEM-Prototype.html; sumber/tn-system-badan.html</t>
  </si>
  <si>
    <t>IDDS-TN-MASUK</t>
  </si>
  <si>
    <t>Masuk yang berhasil (langsung, setelah verifikasi 2 faktor, atau melalui "Lanjut ke Aplikasi" setelah ganti kata sandi) kini membuka prototipe System di layar Dasbor. Sidebar Daftar User (HE-USER) menautkan Dasbor, Peran &amp; Izin, Pengaturan, dan Logs ke prototipe System.</t>
  </si>
  <si>
    <t>sumber/tn-masuk-badan.html; sumber/user-badan.html</t>
  </si>
  <si>
    <t>IDDS-TN-17–26</t>
  </si>
  <si>
    <t>Prototipe penyesuaian IDDS menu CMS tenant (Landing Page dan penyusun tata letak, Setting Theme, Master Konten, Posts &amp; Pages, Media Library) dibuat dari kode live dev-app.eppat.id/t/default (dibaca dari bundel live), dengan Bantuan per halaman sesuai usulan HE-UMUM-02. Menu CMS di prototipe System dan Daftar User kini menautkan ke prototipe ini.</t>
  </si>
  <si>
    <t>prototipe/Backlog-IDDS-TN-CMS-Prototype.html; sumber/tn-cms-badan.html</t>
  </si>
  <si>
    <t>IDDS-TN-27–37</t>
  </si>
  <si>
    <t>Prototipe penyesuaian IDDS E-PPAT Module tenant (Dashboard Akta, Profil Kantor dan Layanan Akta, Akta Salinan beserta detail/kirim/riwayat, Aktivasi e-Meterai) dibuat dari kode live dev-app.eppat.id/t/default. Kode dibaca dari bundel, dan layar e-Meterai tidak dibuka di live agar kuota tidak terpakai. Bantuan per halaman dibuat sesuai usulan HE-UMUM-02. Menu E-PPAT Module di prototipe System, CMS, dan Daftar User kini menautkan ke prototipe ini.</t>
  </si>
  <si>
    <t>prototipe/Backlog-IDDS-TN-EPPAT-Prototype.html; sumber/tn-eppat-badan.html</t>
  </si>
  <si>
    <t>Sidebar diseragamkan di 9 prototipe staf (TERA, Order AJB, Verifikasi, Minuta, E-Akta Wizard, Daftar User, System, CMS, E-PPAT Module): 22 menu dalam 4 grup dengan tautan yang sama. Prototipe Klien tetap hanya menampilkan E-Akta Wizard (sesuai live) dan tersambung ke prototipe E-Akta Wizard Klien.</t>
  </si>
  <si>
    <t>sumber/sidebar-seragam.js</t>
  </si>
  <si>
    <t>IDDS-TN-15/25/36</t>
  </si>
  <si>
    <t>Isi Bantuan halaman System, CMS, dan E-PPAT Module dilengkapi menjadi 92 pertanyaan umum beserta langkah dan daftar istilah.</t>
  </si>
  <si>
    <t>sumber/bantuan-lengkap.js</t>
  </si>
  <si>
    <t>Audit IDDS-TN</t>
  </si>
  <si>
    <t>Audit keseragaman 4 prototipe tenant (86 temuan) diterapkan. Tombol konfirmasi aksi berdampak kini berwarna merah, pesan galat tampil di bawah isian dengan aria-invalid/aria-describedby, dan kata baku dipakai (kata sandi, nonaktif, e-Meterai, berhasil). Label tombol memakai Title Case, aksi dan toggle diberi label nama item, kontrol bersarang di penyusun tata letak dihapus, dan pesan galat dari toast dipindahkan ke bawah isian. Penjaga perubahan ditambahkan untuk formulir dialog CMS dan email e-Meterai. Istilah "scan/pindaian" dan warna lencana Drafting ditunda untuk keputusan tim.</t>
  </si>
  <si>
    <t>sumber/tn-masuk-badan.html; tn-system-badan.html; tn-cms-badan.html; tn-eppat-badan.html</t>
  </si>
  <si>
    <t>Bantuan ditambahkan di halaman Masuk, Verifikasi 2 Faktor, Ganti Kata Sandi, Daftar, Verifikasi OTP, dan Akun Aktif.</t>
  </si>
  <si>
    <t>sumber/tn-masuk-badan.html</t>
  </si>
  <si>
    <t>Panel notifikasi bersama dipasang di semua prototipe kantor lewat rakit-idds.js (data Klien terpisah dari staf).</t>
  </si>
  <si>
    <t>sumber/notifikasi-bersama.html; sumber/rakit-idds.js</t>
  </si>
  <si>
    <t>HE-EAW-08–09</t>
  </si>
  <si>
    <t>E-Akta Wizard: langkah TERA menjelaskan bila TERA kantor belum didaftarkan, masih diproses, atau ditolak (tombol nonaktif, alasan, dan tautan pendaftaran). Langkah e-Meterai memeriksa aktivasi, meminta konfirmasi sebelum memakai kuota, dan menjelaskan kuota habis. Simulasi tersedia melalui pil "TERA kantor" dan "e-Meterai" di bilah atas.</t>
  </si>
  <si>
    <t>sumber/eaw-badan.html</t>
  </si>
  <si>
    <t>Subjudul</t>
  </si>
  <si>
    <t>Keterangan di bawah judul semua halaman kantor diganti menjadi satu kalimat SPOK yang menyebut hal yang dapat dilakukan di halaman tersebut, diakhiri titik.</t>
  </si>
  <si>
    <t>sumber/subjudul.js</t>
  </si>
  <si>
    <t>Panduan IDDS</t>
  </si>
  <si>
    <t>Panduan Penerapan IDDS untuk Developer versi 1.0 dibuat: 8 bagian, 95 aturan (pemasangan, kerangka halaman, komponen, pola HE, aksesibilitas, bahasa, daftar periksa rilis, peta acuan prototipe). Tersedia sebagai halaman prototipe/Panduan-IDDS-Developer.html dan sheet "Panduan IDDS Developer".</t>
  </si>
  <si>
    <t>prototipe/Panduan-IDDS-Developer.html; sumber/panduan-idds.json</t>
  </si>
  <si>
    <t>IDDS-PL-01–10</t>
  </si>
  <si>
    <t>Prototipe penyesuaian IDDS halaman Masuk platform (dev-app.eppat.id/platform) dibuat dari kode live dan prototipe Masuk tenant. Prototipe mencakup Masuk, pesan galat, verifikasi 2 faktor, ganti kata sandi, akun bukan admin platform, pemeliharaan, serta Bantuan per layar.</t>
  </si>
  <si>
    <t>prototipe/Backlog-IDDS-PL-MASUK-Prototype.html; sumber/pl-masuk-badan.html</t>
  </si>
  <si>
    <t>IDDS-PL-11–40</t>
  </si>
  <si>
    <t>Prototipe penyesuaian IDDS menu Platform dibuat dari layar live (dilihat dengan akun admin platform, tanpa mengubah data) dan kode live. Prototipe mencakup Monitoring (Dasbor, Daftar PPAT, Paket Langganan, Log Aktivitas), Akta (Jenis Akta beserta template, variabel, pasal, dan catatan), serta Sistem (Setting Theme, Pengaturan Global 5 tab, Akun Saya). Sidebar, header, panel notifikasi (data admin platform), dan Bantuan seragam di keempat prototipe Platform.</t>
  </si>
  <si>
    <t>prototipe/Backlog-IDDS-PL-MONITORING-Prototype.html; Backlog-IDDS-PL-AKTA-Prototype.html; Backlog-IDDS-PL-SISTEM-Prototype.html</t>
  </si>
  <si>
    <t>IDDS-OB-01–45</t>
  </si>
  <si>
    <t>Prototipe penyesuaian IDDS aplikasi Onboarding (dev.eppat.id) dibuat dari layar live (dilihat dengan akun Admin dan Operator, tanpa mengubah data). Prototipe mencakup Beranda publik, Lupa dan Atur Ulang Kata Sandi, Profil Saya pelanggan, Dasbor Admin, Manajemen Onboarding beserta detail pendaftar, Verifikasi Anggota/Produk/Pembayaran, Menu, Daftar Pengguna, Peran Pengguna, Harga Produk, dan Paket Langganan. Sidebar, header, menu akun, dan Bantuan seragam di ketiga prototipe staf, dan data contoh pendaftar sama di semua prototipe. Prototipe HE Onboarding kini dapat dibuka langsung ke layar Masuk (#masuk) atau Registrasi (#daftar).</t>
  </si>
  <si>
    <t>prototipe/Backlog-IDDS-OB-MASUK-Prototype.html; Backlog-IDDS-OB-MONITOR-Prototype.html; Backlog-IDDS-OB-VERIF-Prototype.html; Backlog-IDDS-OB-PENGATURAN-Prototype.html</t>
  </si>
  <si>
    <t>IDDS-OB-46–55</t>
  </si>
  <si>
    <t>Prototipe Simulasi Pembayaran Onboarding dibuat: delapan langkah dari pilih paket sampai aplikasi aktif dapat disimulasikan satu per satu dan terekam di Rekam Jejak (unduh CSV). Tampilan pelanggan dan operator tersinkron, termasuk cabang kedaluwarsa, gagal, ganti paket/bank, dan batal perpanjang. Status lunas hanya berasal dari konfirmasi bank (tanpa tombol sandbox di sistem admin). Isi saat ini diambil dari uji live akun Uji Onboarding HE (Virtual Account terbit 14.53, lunas 26 Okt 2026 22.45).</t>
  </si>
  <si>
    <t>prototipe/Backlog-IDDS-OB-BAYAR-Prototype.html</t>
  </si>
  <si>
    <t>IDDS-OB-56–60</t>
  </si>
  <si>
    <t>Simulasi Pembayaran ditambah jalur Trial lalu Upgrade ke Enterprise berdasarkan uji live akun Uji Enterprise HE (Trial aktif 23.03, upgrade lunas 23.06 lewat tombol simulasi pelanggan). Riwayat Transaksi mencatat Trial dan Upgrade dengan nama yang benar, stepper selalu urut waktu, lencana status akun mengikuti keadaan, dan email aktivasi tidak dikirim dua kali.</t>
  </si>
  <si>
    <t>Spreadsheet</t>
  </si>
  <si>
    <t>Sheet Usulan HE ditambah kolom Lingkungan (Onboarding, Tenant, Platform, Semua) yang dapat difilter dan kolom Tautan prototipe (Vercel) yang otomatis menjadi tautan setelah URL dasar Vercel diisi di baris 3. Subjudul sheet Platform dan Onboarding diperbaiki.</t>
  </si>
  <si>
    <t>Backlog-HE-EPPAT-Peruri.xlsx; sumber/buat-xlsx.js</t>
  </si>
  <si>
    <t>Semua sheet</t>
  </si>
  <si>
    <t>Bahasa seluruh isi spreadsheet dibakukan (EYD V, kalimat SPOK yang pendek): judul menyebut layar dan hasil, kondisi saat ini mengutip teks live apa adanya, usulan menyebut komponen IDDS dan perilakunya, dan Selesai bila ditulis sebagai kriteria penerimaan yang dapat diuji. Teks daftar penyesuaian di prototipe ikut diperbarui agar sama dengan spreadsheet.</t>
  </si>
  <si>
    <t>Backlog-HE-EPPAT-Peruri.xlsx; prototipe/*</t>
  </si>
  <si>
    <t>Nama dan urutan menu tenant diganti: Layanan (Permohonan AJB), Akta (Dashboard Akta, Verifikasi Berkas, Penyusunan Akta, Penandatanganan Akta, Salinan Akta), Pengaturan Kantor (Profil Kantor, Daftar Pengguna, Peran &amp; Izin, Log Aktivitas, Aktivasi e-Meterai), Pengaturan Aplikasi (Dashboard Sistem, Pengaturan), dan Konten Situs (Halaman Depan, Tema Tampilan, Master Konten, Artikel &amp; Halaman, Pustaka Media). Judul halaman, remah, istilah layar (Order menjadi Permohonan, Drafting menjadi Penyusunan, User menjadi Pengguna, Materai menjadi Meterai), index, Panduan, dan spreadsheet ikut disesuaikan. Tugas Saya, Permohonan APHT, Arsip Akta, dan Template Akta belum ditambahkan karena belum ada di live.</t>
  </si>
  <si>
    <t>sumber/sidebar-seragam.js; 13 prototipe tenant dan HE; Backlog-HE-EPPAT-Peruri.xlsx</t>
  </si>
  <si>
    <t>Ikon menu samping memakai Tabler Icons (pustaka ikon IDDS) yang paling mirip dengan backlog Perdana Niaga, dengan warna ikon emas (#C2BB4B) dan putih saat menu aktif lewat token --eppat-sidebar-icon dan --eppat-sidebar-active-icon. Uji kontras lulus.</t>
  </si>
  <si>
    <t>sumber/aset/tabler-sidebar.json; sumber/order-idds.html; sumber/tera-idds.html</t>
  </si>
  <si>
    <t>HE-EAW-10–12</t>
  </si>
  <si>
    <t>Tab Salinan di Penandatanganan Akta dibuat sesuai fitur live: daftar salinan elektronik dengan unggah berlabel, kelola salinan (Stempel TERA, tanda tangan elektronik, e-Meterai) dengan pola langkah yang sama dengan tab Minuta, hapus berkonfirmasi, dan kirim lampiran via email. Ditambah penjelasan beda dengan menu Salinan Akta serta ikon ? bertooltip pada istilah di Penandatanganan Akta (PPAT dan Klien), Penyusunan Akta, dan Permohonan AJB. Semua tooltip dijaga agar tidak terpotong.</t>
  </si>
  <si>
    <t>prototipe/Backlog-HE-EAW-Prototype.html; Backlog-HE-EAWK-Prototype.html; Backlog-HE-MINUTA-Prototype.html; Backlog-HE-ORDER-Prototype.html</t>
  </si>
  <si>
    <t>Prototipe baru Penyusunan Akta v2 (usulan tampilan): editor naskah ala pengolah kata dengan tiga area (Navigasi, kertas seperti hasil cetak, panel Bagian), bilah menu dan satu bilah alat, panel yang dapat ditutup, serta laci di ponsel. Fitur tetap sama dengan live, Bantuan memakai isi yang sama, dan prototipe Penyusunan Akta lama dipertahankan sebagai pembanding.</t>
  </si>
  <si>
    <t>prototipe/Backlog-HE-MINUTA-V2-Prototype.html</t>
  </si>
  <si>
    <t>Menu Penyusunan Akta v2 ditambahkan ke menu samping semua prototipe tenant dan HE, tepat di bawah Penyusunan Akta, agar kedua versi dapat dibuka dan dibandingkan. Tampilan v2 disesuaikan dengan referensi: kepala naskah ringkas dengan tombol utama per peran, panel Navigasi dengan ikon jenis bagian, kertas per halaman dengan footer dan nomor halaman yang tampil saat menyusun dan di pratinjau. Editor tetap berada di dalam kerangka aplikasi (tanpa layar penuh).</t>
  </si>
  <si>
    <t>prototipe/Backlog-HE-MINUTA-V2-Prototype.html; sumber/sidebar-seragam.js; semua prototipe tenant dan HE</t>
  </si>
  <si>
    <t>Keterangan</t>
  </si>
  <si>
    <t>Cara membaca dan memperbarui spreadsheet ini.</t>
  </si>
  <si>
    <t>Isi spreadsheet</t>
  </si>
  <si>
    <t>Panduan IDDS Developer</t>
  </si>
  <si>
    <t>Panduan penerapan IDDS untuk developer yang mencakup pemasangan, kerangka halaman, komponen, pola dari saran HE, aksesibilitas, bahasa, daftar periksa rilis, dan peta acuan prototipe. Versi halaman web ada di prototipe/Panduan-IDDS-Developer.html.</t>
  </si>
  <si>
    <t>Usulan perbaikan dari laporan Heuristic Evaluation INA Digital (kode HE-&lt;FITUR&gt;-NN dan HE-UMUM-NN).</t>
  </si>
  <si>
    <t>Penyesuaian IDDS Tenant</t>
  </si>
  <si>
    <t>Menu aplikasi kantor PPAT (dev-app.eppat.id/t/&lt;kantor&gt;) yang tidak dinilai HE (kode IDDS-TN-NN).</t>
  </si>
  <si>
    <t>Penyesuaian IDDS Platform</t>
  </si>
  <si>
    <t>Menu admin platform (dev-app.eppat.id/platform) yang tidak dinilai HE (kode IDDS-PL-NN).</t>
  </si>
  <si>
    <t>Penyesuaian IDDS Onboarding</t>
  </si>
  <si>
    <t>Halaman Onboarding untuk calon PPAT dan staf Onboarding (dev.eppat.id) yang tidak dinilai HE (kode IDDS-OB-NN).</t>
  </si>
  <si>
    <t>Ringkasan</t>
  </si>
  <si>
    <t>Jumlah usulan per status, prioritas, dan fitur/menu. Angka dihitung otomatis dengan rumus.</t>
  </si>
  <si>
    <t>Perkiraan Nilai HE</t>
  </si>
  <si>
    <t>Perkiraan kenaikan skor HE per halaman dan per prinsip bila prototipe diterapkan, termasuk alternatif Penyusunan Akta (PPAT) v2, beserta penahan nilai dan asumsinya. Data sumber: sumber/perkiraan-he.json.</t>
  </si>
  <si>
    <t>Riwayat Perubahan</t>
  </si>
  <si>
    <t>Catatan setiap perubahan. Catatan terbaru ada di baris paling bawah.</t>
  </si>
  <si>
    <t>Cara memperbarui</t>
  </si>
  <si>
    <t>Kolom yang diisi tim</t>
  </si>
  <si>
    <t>Tim mengisi kolom Status dan Catatan (berlatar kuning) di sheet Usulan HE dan Penyesuaian IDDS. Kolom lain mengikuti prototipe dan laporan HE.</t>
  </si>
  <si>
    <t>Lingkungan (sheet Usulan HE)</t>
  </si>
  <si>
    <t>Aplikasi tempat usulan diterapkan: Onboarding (dev.eppat.id), Tenant (dev-app.eppat.id/t/&lt;kantor&gt;), Platform (dev-app.eppat.id/platform), atau Semua. Gunakan filter di kepala kolom untuk menampilkan satu lingkungan saja.</t>
  </si>
  <si>
    <t>Acuan prototipe (tautan)</t>
  </si>
  <si>
    <t>Kolom Acuan prototipe berisi alamat lengkap halaman tujuan di situs https://he-eppat.vercel.app/ dan dapat diklik. Setiap backlog berisi satu alamat, yaitu prototipe yang dibahas backlog tersebut. Di dalam prototipe, tombol Daftar perubahan atau Daftar penyesuaian lalu Lihat di layar menunjukkan bagian yang berubah. Baris 3 setiap sheet menautkan ke daftar prototipe kelompok tersebut.</t>
  </si>
  <si>
    <t>Kode HE-&lt;FITUR&gt;-NN dipakai untuk usulan HE per fitur, HE-UMUM-NN untuk usulan HE lintas layar, dan IDDS-TN/PL/OB-NN untuk penyesuaian IDDS. Nomor tidak pernah diurutkan ulang.</t>
  </si>
  <si>
    <t>Buka berkas di folder prototipe/, tekan tombol "Daftar perubahan" atau "Daftar penyesuaian", lalu pilih "Lihat di layar" untuk melihat bagian yang berubah.</t>
  </si>
  <si>
    <t>Usulan baru dicatat, dan prototipenya belum dibuat.</t>
  </si>
  <si>
    <t>Prototipe sudah dapat dipakai sebagai acuan developer.</t>
  </si>
  <si>
    <t>Ada nilai atau aturan yang perlu dipastikan tim (lihat kolom Catatan).</t>
  </si>
  <si>
    <t>Usulan disepakati untuk dikerjakan.</t>
  </si>
  <si>
    <t>Usulan sedang dikerjakan di aplikasi.</t>
  </si>
  <si>
    <t>Usulan sudah diterapkan dan lolos pemeriksaan "Selesai bila".</t>
  </si>
  <si>
    <t>Usulan tidak dikerjakan pada periode ini.</t>
  </si>
  <si>
    <t>Prinsip heuristik (laporan HE)</t>
  </si>
  <si>
    <t>H1</t>
  </si>
  <si>
    <t>H2</t>
  </si>
  <si>
    <t>H3</t>
  </si>
  <si>
    <t>H4</t>
  </si>
  <si>
    <t>H5</t>
  </si>
  <si>
    <t>Help Users Recognize, Diagnose, and Recover from Errors</t>
  </si>
  <si>
    <t>H6</t>
  </si>
  <si>
    <t>H7</t>
  </si>
  <si>
    <t>H8</t>
  </si>
  <si>
    <t>H9</t>
  </si>
  <si>
    <t>H10</t>
  </si>
  <si>
    <t>H11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</si>
</sst>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mmm yyyy"/>
    <numFmt numFmtId="165" formatCode="0.0"/>
    <numFmt numFmtId="166" formatCode="+0.0;-0.0;0.0"/>
  </numFmts>
  <fonts count="16" x14ac:knownFonts="1">
    <font>
      <color theme="1"/>
      <family val="2"/>
      <scheme val="minor"/>
      <sz val="11"/>
      <name val="Calibri"/>
    </font>
    <font>
      <b/>
      <color rgb="FF3D6B5E"/>
      <sz val="14"/>
      <name val="Arial"/>
    </font>
    <font>
      <color rgb="FF525252"/>
      <sz val="9"/>
      <name val="Arial"/>
    </font>
    <font>
      <sz val="10"/>
      <name val="Arial"/>
    </font>
    <font>
      <b/>
      <color rgb="FFFFFFFF"/>
      <sz val="10"/>
      <name val="Arial"/>
    </font>
    <font>
      <b/>
      <color rgb="FF3D6B5E"/>
      <sz val="11"/>
      <name val="Arial"/>
    </font>
    <font>
      <sz val="9"/>
      <name val="Arial"/>
    </font>
    <font>
      <sz val="9"/>
      <name val="Consolas"/>
    </font>
    <font>
      <u/>
      <color rgb="FF0968F6"/>
      <sz val="9"/>
      <name val="Arial"/>
    </font>
    <font>
      <color rgb="FF1F1F1F"/>
      <sz val="9"/>
      <name val="Arial"/>
    </font>
    <font>
      <b/>
      <color rgb="FF3D6B5E"/>
      <sz val="9"/>
      <name val="Arial"/>
    </font>
    <font>
      <b/>
      <sz val="10"/>
      <name val="Arial"/>
    </font>
    <font>
      <color rgb="FF3D6B5E"/>
      <sz val="9"/>
      <name val="Arial"/>
    </font>
    <font>
      <b/>
      <sz val="9"/>
      <name val="Arial"/>
    </font>
    <font>
      <b/>
      <color rgb="FF3D6B5E"/>
      <sz val="10"/>
      <name val="Arial"/>
    </font>
    <font>
      <color rgb="FF1F1F1F"/>
      <sz val="10"/>
      <name val="Arial"/>
    </font>
  </fonts>
  <fills count="6">
    <fill>
      <patternFill patternType="none"/>
    </fill>
    <fill>
      <patternFill patternType="gray125"/>
    </fill>
    <fill>
      <patternFill patternType="solid">
        <fgColor rgb="FF3D6B5E"/>
      </patternFill>
    </fill>
    <fill>
      <patternFill patternType="solid">
        <fgColor rgb="FFEEF3F1"/>
      </patternFill>
    </fill>
    <fill>
      <patternFill patternType="solid">
        <fgColor rgb="FFFFF8D5"/>
      </patternFill>
    </fill>
    <fill>
      <patternFill patternType="solid">
        <fgColor rgb="FFF8FAF9"/>
      </patternFill>
    </fill>
  </fills>
  <borders count="2">
    <border>
      <left/>
      <right/>
      <top/>
      <bottom/>
      <diagonal/>
    </border>
    <border>
      <left style="thin">
        <color rgb="FFD2DDD9"/>
      </left>
      <right style="thin">
        <color rgb="FFD2DDD9"/>
      </right>
      <top style="thin">
        <color rgb="FFD2DDD9"/>
      </top>
      <bottom style="thin">
        <color rgb="FFD2DDD9"/>
      </bottom>
      <diagonal/>
    </border>
  </borders>
  <cellStyleXfs count="1">
    <xf numFmtId="0" fontId="0" fillId="0" borderId="0"/>
  </cellStyleXfs>
  <cellXfs count="38">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2" borderId="1" xfId="0" applyFont="1" applyFill="1" applyBorder="1" applyAlignment="1">
      <alignment horizontal="left" vertical="center" wrapText="1"/>
    </xf>
    <xf numFmtId="0" fontId="5" fillId="3" borderId="0" xfId="0" applyFont="1" applyFill="1"/>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8" fillId="0" borderId="0" xfId="0" applyFont="1" applyAlignment="1">
      <alignment vertical="center"/>
    </xf>
    <xf numFmtId="0" fontId="9" fillId="0" borderId="1" xfId="0" applyFont="1" applyBorder="1" applyAlignment="1">
      <alignment vertical="top" wrapText="1"/>
    </xf>
    <xf numFmtId="0" fontId="10" fillId="0" borderId="1" xfId="0" applyFont="1" applyBorder="1" applyAlignment="1">
      <alignment vertical="top" wrapText="1"/>
    </xf>
    <xf numFmtId="0" fontId="9" fillId="4" borderId="1" xfId="0" applyFont="1" applyFill="1" applyBorder="1" applyAlignment="1">
      <alignment vertical="top" wrapText="1"/>
    </xf>
    <xf numFmtId="164" fontId="9" fillId="0" borderId="1" xfId="0" applyNumberFormat="1" applyFont="1" applyBorder="1" applyAlignment="1">
      <alignment vertical="top" wrapText="1"/>
    </xf>
    <xf numFmtId="0" fontId="9" fillId="5" borderId="1" xfId="0" applyFont="1" applyFill="1" applyBorder="1" applyAlignment="1">
      <alignment vertical="top" wrapText="1"/>
    </xf>
    <xf numFmtId="0" fontId="10" fillId="5" borderId="1" xfId="0" applyFont="1" applyFill="1" applyBorder="1" applyAlignment="1">
      <alignment vertical="top" wrapText="1"/>
    </xf>
    <xf numFmtId="164" fontId="9" fillId="5" borderId="1" xfId="0" applyNumberFormat="1" applyFont="1" applyFill="1" applyBorder="1" applyAlignment="1">
      <alignment vertical="top" wrapText="1"/>
    </xf>
    <xf numFmtId="0" fontId="3" fillId="0" borderId="0" xfId="0" applyFont="1"/>
    <xf numFmtId="0" fontId="3" fillId="0" borderId="1" xfId="0" applyFont="1" applyBorder="1" applyAlignment="1">
      <alignment vertical="top" wrapText="1"/>
    </xf>
    <xf numFmtId="0" fontId="11" fillId="0" borderId="1" xfId="0" applyFont="1" applyBorder="1" applyAlignment="1">
      <alignment vertical="top" wrapText="1"/>
    </xf>
    <xf numFmtId="0" fontId="4" fillId="2" borderId="1" xfId="0" applyFont="1" applyFill="1" applyBorder="1" applyAlignment="1">
      <alignment vertical="top" wrapText="1"/>
    </xf>
    <xf numFmtId="165" fontId="9" fillId="0" borderId="1" xfId="0" applyNumberFormat="1" applyFont="1" applyBorder="1" applyAlignment="1">
      <alignment horizontal="right" vertical="top"/>
    </xf>
    <xf numFmtId="166" fontId="9" fillId="0" borderId="1" xfId="0" applyNumberFormat="1" applyFont="1" applyBorder="1" applyAlignment="1">
      <alignment horizontal="right" vertical="top"/>
    </xf>
    <xf numFmtId="0" fontId="10" fillId="3" borderId="1" xfId="0" applyFont="1" applyFill="1" applyBorder="1" applyAlignment="1">
      <alignment vertical="top" wrapText="1"/>
    </xf>
    <xf numFmtId="165" fontId="12" fillId="3" borderId="1" xfId="0" applyNumberFormat="1" applyFont="1" applyFill="1" applyBorder="1" applyAlignment="1">
      <alignment horizontal="right" vertical="top"/>
    </xf>
    <xf numFmtId="166" fontId="12" fillId="3" borderId="1" xfId="0" applyNumberFormat="1" applyFont="1" applyFill="1" applyBorder="1" applyAlignment="1">
      <alignment horizontal="right" vertical="top"/>
    </xf>
    <xf numFmtId="0" fontId="12" fillId="3" borderId="1" xfId="0" applyFont="1" applyFill="1" applyBorder="1" applyAlignment="1">
      <alignment vertical="top" wrapText="1"/>
    </xf>
    <xf numFmtId="0" fontId="8" fillId="3" borderId="1" xfId="0" applyFont="1" applyFill="1" applyBorder="1" applyAlignment="1">
      <alignment vertical="top" wrapText="1"/>
    </xf>
    <xf numFmtId="0" fontId="13" fillId="5" borderId="1" xfId="0" applyFont="1" applyFill="1" applyBorder="1" applyAlignment="1">
      <alignment vertical="top" wrapText="1"/>
    </xf>
    <xf numFmtId="165" fontId="13" fillId="5" borderId="1" xfId="0" applyNumberFormat="1" applyFont="1" applyFill="1" applyBorder="1" applyAlignment="1">
      <alignment horizontal="right" vertical="top"/>
    </xf>
    <xf numFmtId="166" fontId="13" fillId="5" borderId="1" xfId="0" applyNumberFormat="1" applyFont="1" applyFill="1" applyBorder="1" applyAlignment="1">
      <alignment horizontal="right" vertical="top"/>
    </xf>
    <xf numFmtId="165"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0" fontId="14" fillId="0" borderId="0" xfId="0" applyFont="1"/>
    <xf numFmtId="0" fontId="6" fillId="0" borderId="0" xfId="0" applyFont="1" applyAlignment="1">
      <alignment vertical="top" wrapText="1"/>
    </xf>
    <xf numFmtId="164" fontId="6" fillId="0" borderId="1" xfId="0" applyNumberFormat="1" applyFont="1" applyBorder="1" applyAlignment="1">
      <alignment vertical="top" wrapText="1"/>
    </xf>
    <xf numFmtId="0" fontId="5" fillId="0" borderId="0" xfId="0" applyFont="1" applyAlignment="1">
      <alignment vertical="top" wrapText="1"/>
    </xf>
    <xf numFmtId="0" fontId="1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6"/>
  <sheetViews>
    <sheetView workbookViewId="0">
      <pane ySplit="5" topLeftCell="A6" activePane="bottomLeft" state="frozen"/>
      <selection pane="bottomLeft"/>
    </sheetView>
  </sheetViews>
  <sheetFormatPr defaultRowHeight="15" outlineLevelRow="0" outlineLevelCol="0" x14ac:dyDescent="55"/>
  <cols>
    <col min="1" max="1" width="7" customWidth="1"/>
    <col min="2" max="2" width="22" customWidth="1"/>
    <col min="3" max="3" width="28" customWidth="1"/>
    <col min="4" max="4" width="70" customWidth="1"/>
    <col min="5" max="5" width="60" customWidth="1"/>
    <col min="6" max="6" width="40" customWidth="1"/>
    <col min="7" max="7" width="18" customWidth="1"/>
  </cols>
  <sheetData>
    <row r="1" ht="22" customHeight="1" spans="1:7" x14ac:dyDescent="0.25">
      <c r="A1" s="1" t="s">
        <v>0</v>
      </c>
      <c r="B1" s="1"/>
      <c r="C1" s="1"/>
      <c r="D1" s="1"/>
      <c r="E1" s="1"/>
      <c r="F1" s="1"/>
      <c r="G1" s="1"/>
    </row>
    <row r="2" spans="1:7" x14ac:dyDescent="0.25">
      <c r="A2" s="2" t="s">
        <v>1</v>
      </c>
      <c r="B2" s="2"/>
      <c r="C2" s="2"/>
      <c r="D2" s="2"/>
      <c r="E2" s="2"/>
      <c r="F2" s="2"/>
      <c r="G2" s="2"/>
    </row>
    <row r="3" ht="45" customHeight="1" spans="1:7" x14ac:dyDescent="0.25">
      <c r="A3" s="3" t="s">
        <v>2</v>
      </c>
      <c r="B3" s="3"/>
      <c r="C3" s="3"/>
      <c r="D3" s="3"/>
      <c r="E3" s="3"/>
      <c r="F3" s="3"/>
      <c r="G3" s="3"/>
    </row>
    <row r="5" ht="30" customHeight="1" spans="1:7" x14ac:dyDescent="0.25">
      <c r="A5" s="4" t="s">
        <v>3</v>
      </c>
      <c r="B5" s="4" t="s">
        <v>4</v>
      </c>
      <c r="C5" s="4" t="s">
        <v>5</v>
      </c>
      <c r="D5" s="4" t="s">
        <v>6</v>
      </c>
      <c r="E5" s="4" t="s">
        <v>7</v>
      </c>
      <c r="F5" s="4" t="s">
        <v>8</v>
      </c>
      <c r="G5" s="4" t="s">
        <v>9</v>
      </c>
    </row>
    <row r="6" spans="1:7" x14ac:dyDescent="0.25">
      <c r="A6" s="5" t="s">
        <v>10</v>
      </c>
      <c r="B6" s="5"/>
      <c r="C6" s="5"/>
      <c r="D6" s="5"/>
      <c r="E6" s="5"/>
      <c r="F6" s="5"/>
      <c r="G6" s="5"/>
    </row>
    <row r="7" spans="1:7" x14ac:dyDescent="0.25">
      <c r="A7" s="6" t="s">
        <v>11</v>
      </c>
      <c r="B7" s="6" t="s">
        <v>12</v>
      </c>
      <c r="C7" s="6" t="s">
        <v>13</v>
      </c>
      <c r="D7" s="6" t="s">
        <v>14</v>
      </c>
      <c r="E7" s="7" t="s">
        <v>15</v>
      </c>
      <c r="F7" s="8" t="str">
        <f>HYPERLINK("https://he-eppat.vercel.app/Brand-Mode-EPPAT-IDDS.html","https://he-eppat.vercel.app/Brand-Mode-EPPAT-IDDS.html")</f>
        <v>https://he-eppat.vercel.app/Brand-Mode-EPPAT-IDDS.html</v>
      </c>
      <c r="G7" s="6" t="s">
        <v>16</v>
      </c>
    </row>
    <row r="8" spans="1:7" x14ac:dyDescent="0.25">
      <c r="A8" s="6" t="s">
        <v>17</v>
      </c>
      <c r="B8" s="6" t="s">
        <v>12</v>
      </c>
      <c r="C8" s="6" t="s">
        <v>18</v>
      </c>
      <c r="D8" s="6" t="s">
        <v>19</v>
      </c>
      <c r="E8" s="7" t="s">
        <v>20</v>
      </c>
      <c r="F8" s="6" t="s">
        <v>21</v>
      </c>
      <c r="G8" s="6" t="s">
        <v>22</v>
      </c>
    </row>
    <row r="9" spans="1:7" x14ac:dyDescent="0.25">
      <c r="A9" s="6" t="s">
        <v>23</v>
      </c>
      <c r="B9" s="6" t="s">
        <v>12</v>
      </c>
      <c r="C9" s="6" t="s">
        <v>24</v>
      </c>
      <c r="D9" s="6" t="s">
        <v>25</v>
      </c>
      <c r="E9" s="7" t="s">
        <v>26</v>
      </c>
      <c r="F9" s="6" t="s">
        <v>21</v>
      </c>
      <c r="G9" s="6" t="s">
        <v>27</v>
      </c>
    </row>
    <row r="10" spans="1:7" x14ac:dyDescent="0.25">
      <c r="A10" s="6" t="s">
        <v>28</v>
      </c>
      <c r="B10" s="6" t="s">
        <v>12</v>
      </c>
      <c r="C10" s="6" t="s">
        <v>29</v>
      </c>
      <c r="D10" s="6" t="s">
        <v>30</v>
      </c>
      <c r="E10" s="7" t="s">
        <v>31</v>
      </c>
      <c r="F10" s="8" t="str">
        <f>HYPERLINK("https://he-eppat.vercel.app/Backlog-HE-ORDER-Prototype.html","https://he-eppat.vercel.app/Backlog-HE-ORDER-Prototype.html")</f>
        <v>https://he-eppat.vercel.app/Backlog-HE-ORDER-Prototype.html</v>
      </c>
      <c r="G10" s="6" t="s">
        <v>27</v>
      </c>
    </row>
    <row r="11" spans="1:7" x14ac:dyDescent="0.25">
      <c r="A11" s="6" t="s">
        <v>32</v>
      </c>
      <c r="B11" s="6" t="s">
        <v>12</v>
      </c>
      <c r="C11" s="6" t="s">
        <v>33</v>
      </c>
      <c r="D11" s="6" t="s">
        <v>34</v>
      </c>
      <c r="E11" s="7" t="s">
        <v>35</v>
      </c>
      <c r="F11" s="8" t="str">
        <f>HYPERLINK("https://he-eppat.vercel.app/Brand-Mode-EPPAT-IDDS.html","https://he-eppat.vercel.app/Brand-Mode-EPPAT-IDDS.html")</f>
        <v>https://he-eppat.vercel.app/Brand-Mode-EPPAT-IDDS.html</v>
      </c>
      <c r="G11" s="6" t="s">
        <v>27</v>
      </c>
    </row>
    <row r="12" spans="1:7" x14ac:dyDescent="0.25">
      <c r="A12" s="6" t="s">
        <v>36</v>
      </c>
      <c r="B12" s="6" t="s">
        <v>12</v>
      </c>
      <c r="C12" s="6" t="s">
        <v>37</v>
      </c>
      <c r="D12" s="6" t="s">
        <v>38</v>
      </c>
      <c r="E12" s="7" t="s">
        <v>39</v>
      </c>
      <c r="F12" s="6" t="s">
        <v>40</v>
      </c>
      <c r="G12" s="6" t="s">
        <v>22</v>
      </c>
    </row>
    <row r="13" spans="1:7" x14ac:dyDescent="0.25">
      <c r="A13" s="6" t="s">
        <v>41</v>
      </c>
      <c r="B13" s="6" t="s">
        <v>12</v>
      </c>
      <c r="C13" s="6" t="s">
        <v>42</v>
      </c>
      <c r="D13" s="6" t="s">
        <v>43</v>
      </c>
      <c r="E13" s="7" t="s">
        <v>44</v>
      </c>
      <c r="F13" s="8" t="str">
        <f>HYPERLINK("https://he-eppat.vercel.app/Brand-Mode-EPPAT-IDDS.html","https://he-eppat.vercel.app/Brand-Mode-EPPAT-IDDS.html")</f>
        <v>https://he-eppat.vercel.app/Brand-Mode-EPPAT-IDDS.html</v>
      </c>
      <c r="G13" s="6" t="s">
        <v>22</v>
      </c>
    </row>
    <row r="14" spans="1:7" x14ac:dyDescent="0.25">
      <c r="A14" s="6" t="s">
        <v>45</v>
      </c>
      <c r="B14" s="6" t="s">
        <v>12</v>
      </c>
      <c r="C14" s="6" t="s">
        <v>46</v>
      </c>
      <c r="D14" s="6" t="s">
        <v>47</v>
      </c>
      <c r="E14" s="7" t="s">
        <v>48</v>
      </c>
      <c r="F14" s="6" t="s">
        <v>21</v>
      </c>
      <c r="G14" s="6" t="s">
        <v>22</v>
      </c>
    </row>
    <row r="15" spans="1:7" x14ac:dyDescent="0.25">
      <c r="A15" s="6" t="s">
        <v>49</v>
      </c>
      <c r="B15" s="6" t="s">
        <v>12</v>
      </c>
      <c r="C15" s="6" t="s">
        <v>50</v>
      </c>
      <c r="D15" s="6" t="s">
        <v>51</v>
      </c>
      <c r="E15" s="7" t="s">
        <v>52</v>
      </c>
      <c r="F15" s="8" t="str">
        <f>HYPERLINK("https://he-eppat.vercel.app/Backlog-IDDS-TN-CMS-Prototype.html","https://he-eppat.vercel.app/Backlog-IDDS-TN-CMS-Prototype.html")</f>
        <v>https://he-eppat.vercel.app/Backlog-IDDS-TN-CMS-Prototype.html</v>
      </c>
      <c r="G15" s="6" t="s">
        <v>53</v>
      </c>
    </row>
    <row r="16" spans="1:7" x14ac:dyDescent="0.25">
      <c r="A16" s="6" t="s">
        <v>54</v>
      </c>
      <c r="B16" s="6" t="s">
        <v>12</v>
      </c>
      <c r="C16" s="6" t="s">
        <v>55</v>
      </c>
      <c r="D16" s="6" t="s">
        <v>56</v>
      </c>
      <c r="E16" s="7" t="s">
        <v>57</v>
      </c>
      <c r="F16" s="8" t="str">
        <f>HYPERLINK("https://he-eppat.vercel.app/Backlog-IDDS-TN-CMS-Prototype.html","https://he-eppat.vercel.app/Backlog-IDDS-TN-CMS-Prototype.html")</f>
        <v>https://he-eppat.vercel.app/Backlog-IDDS-TN-CMS-Prototype.html</v>
      </c>
      <c r="G16" s="6" t="s">
        <v>22</v>
      </c>
    </row>
    <row r="17" spans="1:7" x14ac:dyDescent="0.25">
      <c r="A17" s="5" t="s">
        <v>58</v>
      </c>
      <c r="B17" s="5"/>
      <c r="C17" s="5"/>
      <c r="D17" s="5"/>
      <c r="E17" s="5"/>
      <c r="F17" s="5"/>
      <c r="G17" s="5"/>
    </row>
    <row r="18" spans="1:7" x14ac:dyDescent="0.25">
      <c r="A18" s="6" t="s">
        <v>59</v>
      </c>
      <c r="B18" s="6" t="s">
        <v>60</v>
      </c>
      <c r="C18" s="6" t="s">
        <v>61</v>
      </c>
      <c r="D18" s="6" t="s">
        <v>62</v>
      </c>
      <c r="E18" s="7" t="s">
        <v>63</v>
      </c>
      <c r="F18" s="8" t="str">
        <f>HYPERLINK("https://he-eppat.vercel.app/Backlog-HE-ORDER-Prototype.html","https://he-eppat.vercel.app/Backlog-HE-ORDER-Prototype.html")</f>
        <v>https://he-eppat.vercel.app/Backlog-HE-ORDER-Prototype.html</v>
      </c>
      <c r="G18" s="6" t="s">
        <v>22</v>
      </c>
    </row>
    <row r="19" spans="1:7" x14ac:dyDescent="0.25">
      <c r="A19" s="6" t="s">
        <v>64</v>
      </c>
      <c r="B19" s="6" t="s">
        <v>60</v>
      </c>
      <c r="C19" s="6" t="s">
        <v>65</v>
      </c>
      <c r="D19" s="6" t="s">
        <v>66</v>
      </c>
      <c r="E19" s="7" t="s">
        <v>67</v>
      </c>
      <c r="F19" s="8" t="str">
        <f>HYPERLINK("https://he-eppat.vercel.app/Backlog-HE-ORDER-Prototype.html","https://he-eppat.vercel.app/Backlog-HE-ORDER-Prototype.html")</f>
        <v>https://he-eppat.vercel.app/Backlog-HE-ORDER-Prototype.html</v>
      </c>
      <c r="G19" s="6" t="s">
        <v>68</v>
      </c>
    </row>
    <row r="20" spans="1:7" x14ac:dyDescent="0.25">
      <c r="A20" s="6" t="s">
        <v>69</v>
      </c>
      <c r="B20" s="6" t="s">
        <v>60</v>
      </c>
      <c r="C20" s="6" t="s">
        <v>70</v>
      </c>
      <c r="D20" s="6" t="s">
        <v>71</v>
      </c>
      <c r="E20" s="7" t="s">
        <v>72</v>
      </c>
      <c r="F20" s="8" t="str">
        <f>HYPERLINK("https://he-eppat.vercel.app/Backlog-HE-ORDER-Prototype.html","https://he-eppat.vercel.app/Backlog-HE-ORDER-Prototype.html")</f>
        <v>https://he-eppat.vercel.app/Backlog-HE-ORDER-Prototype.html</v>
      </c>
      <c r="G20" s="6" t="s">
        <v>27</v>
      </c>
    </row>
    <row r="21" spans="1:7" x14ac:dyDescent="0.25">
      <c r="A21" s="6" t="s">
        <v>73</v>
      </c>
      <c r="B21" s="6" t="s">
        <v>60</v>
      </c>
      <c r="C21" s="6" t="s">
        <v>74</v>
      </c>
      <c r="D21" s="6" t="s">
        <v>75</v>
      </c>
      <c r="E21" s="7" t="s">
        <v>76</v>
      </c>
      <c r="F21" s="8" t="str">
        <f>HYPERLINK("https://he-eppat.vercel.app/Backlog-HE-ORDER-Prototype.html","https://he-eppat.vercel.app/Backlog-HE-ORDER-Prototype.html")</f>
        <v>https://he-eppat.vercel.app/Backlog-HE-ORDER-Prototype.html</v>
      </c>
      <c r="G21" s="6" t="s">
        <v>27</v>
      </c>
    </row>
    <row r="22" spans="1:7" x14ac:dyDescent="0.25">
      <c r="A22" s="6" t="s">
        <v>77</v>
      </c>
      <c r="B22" s="6" t="s">
        <v>60</v>
      </c>
      <c r="C22" s="6" t="s">
        <v>78</v>
      </c>
      <c r="D22" s="6" t="s">
        <v>79</v>
      </c>
      <c r="E22" s="7" t="s">
        <v>80</v>
      </c>
      <c r="F22" s="8" t="str">
        <f>HYPERLINK("https://he-eppat.vercel.app/Backlog-HE-ORDER-Prototype.html","https://he-eppat.vercel.app/Backlog-HE-ORDER-Prototype.html")</f>
        <v>https://he-eppat.vercel.app/Backlog-HE-ORDER-Prototype.html</v>
      </c>
      <c r="G22" s="6" t="s">
        <v>81</v>
      </c>
    </row>
    <row r="23" spans="1:7" x14ac:dyDescent="0.25">
      <c r="A23" s="6" t="s">
        <v>82</v>
      </c>
      <c r="B23" s="6" t="s">
        <v>60</v>
      </c>
      <c r="C23" s="6" t="s">
        <v>83</v>
      </c>
      <c r="D23" s="6" t="s">
        <v>84</v>
      </c>
      <c r="E23" s="7" t="s">
        <v>85</v>
      </c>
      <c r="F23" s="8" t="str">
        <f>HYPERLINK("https://he-eppat.vercel.app/Backlog-HE-ORDER-Prototype.html","https://he-eppat.vercel.app/Backlog-HE-ORDER-Prototype.html")</f>
        <v>https://he-eppat.vercel.app/Backlog-HE-ORDER-Prototype.html</v>
      </c>
      <c r="G23" s="6" t="s">
        <v>86</v>
      </c>
    </row>
    <row r="24" spans="1:7" x14ac:dyDescent="0.25">
      <c r="A24" s="6" t="s">
        <v>87</v>
      </c>
      <c r="B24" s="6" t="s">
        <v>60</v>
      </c>
      <c r="C24" s="6" t="s">
        <v>88</v>
      </c>
      <c r="D24" s="6" t="s">
        <v>89</v>
      </c>
      <c r="E24" s="7" t="s">
        <v>90</v>
      </c>
      <c r="F24" s="8" t="str">
        <f>HYPERLINK("https://he-eppat.vercel.app/Backlog-HE-ORDER-Prototype.html","https://he-eppat.vercel.app/Backlog-HE-ORDER-Prototype.html")</f>
        <v>https://he-eppat.vercel.app/Backlog-HE-ORDER-Prototype.html</v>
      </c>
      <c r="G24" s="6" t="s">
        <v>91</v>
      </c>
    </row>
    <row r="25" spans="1:7" x14ac:dyDescent="0.25">
      <c r="A25" s="6" t="s">
        <v>92</v>
      </c>
      <c r="B25" s="6" t="s">
        <v>60</v>
      </c>
      <c r="C25" s="6" t="s">
        <v>93</v>
      </c>
      <c r="D25" s="6" t="s">
        <v>94</v>
      </c>
      <c r="E25" s="7" t="s">
        <v>95</v>
      </c>
      <c r="F25" s="8" t="str">
        <f>HYPERLINK("https://he-eppat.vercel.app/Backlog-HE-ORDER-Prototype.html","https://he-eppat.vercel.app/Backlog-HE-ORDER-Prototype.html")</f>
        <v>https://he-eppat.vercel.app/Backlog-HE-ORDER-Prototype.html</v>
      </c>
      <c r="G25" s="6" t="s">
        <v>96</v>
      </c>
    </row>
    <row r="26" spans="1:7" x14ac:dyDescent="0.25">
      <c r="A26" s="6" t="s">
        <v>97</v>
      </c>
      <c r="B26" s="6" t="s">
        <v>60</v>
      </c>
      <c r="C26" s="6" t="s">
        <v>98</v>
      </c>
      <c r="D26" s="6" t="s">
        <v>99</v>
      </c>
      <c r="E26" s="7" t="s">
        <v>100</v>
      </c>
      <c r="F26" s="8" t="str">
        <f>HYPERLINK("https://he-eppat.vercel.app/Backlog-HE-ORDER-Prototype.html","https://he-eppat.vercel.app/Backlog-HE-ORDER-Prototype.html")</f>
        <v>https://he-eppat.vercel.app/Backlog-HE-ORDER-Prototype.html</v>
      </c>
      <c r="G26" s="6" t="s">
        <v>101</v>
      </c>
    </row>
    <row r="27" spans="1:7" x14ac:dyDescent="0.25">
      <c r="A27" s="6" t="s">
        <v>102</v>
      </c>
      <c r="B27" s="6" t="s">
        <v>60</v>
      </c>
      <c r="C27" s="6" t="s">
        <v>103</v>
      </c>
      <c r="D27" s="6" t="s">
        <v>104</v>
      </c>
      <c r="E27" s="7" t="s">
        <v>105</v>
      </c>
      <c r="F27" s="8" t="str">
        <f>HYPERLINK("https://he-eppat.vercel.app/Backlog-IDDS-TN-MASUK-Prototype.html","https://he-eppat.vercel.app/Backlog-IDDS-TN-MASUK-Prototype.html")</f>
        <v>https://he-eppat.vercel.app/Backlog-IDDS-TN-MASUK-Prototype.html</v>
      </c>
      <c r="G27" s="6" t="s">
        <v>27</v>
      </c>
    </row>
    <row r="28" spans="1:7" x14ac:dyDescent="0.25">
      <c r="A28" s="6" t="s">
        <v>106</v>
      </c>
      <c r="B28" s="6" t="s">
        <v>60</v>
      </c>
      <c r="C28" s="6" t="s">
        <v>107</v>
      </c>
      <c r="D28" s="6" t="s">
        <v>108</v>
      </c>
      <c r="E28" s="7" t="s">
        <v>109</v>
      </c>
      <c r="F28" s="8" t="str">
        <f>HYPERLINK("https://he-eppat.vercel.app/Backlog-IDDS-TN-EPPAT-Prototype.html","https://he-eppat.vercel.app/Backlog-IDDS-TN-EPPAT-Prototype.html")</f>
        <v>https://he-eppat.vercel.app/Backlog-IDDS-TN-EPPAT-Prototype.html</v>
      </c>
      <c r="G28" s="6" t="s">
        <v>110</v>
      </c>
    </row>
    <row r="29" spans="1:7" x14ac:dyDescent="0.25">
      <c r="A29" s="6" t="s">
        <v>111</v>
      </c>
      <c r="B29" s="6" t="s">
        <v>60</v>
      </c>
      <c r="C29" s="6" t="s">
        <v>112</v>
      </c>
      <c r="D29" s="6" t="s">
        <v>113</v>
      </c>
      <c r="E29" s="7" t="s">
        <v>114</v>
      </c>
      <c r="F29" s="8" t="str">
        <f>HYPERLINK("https://he-eppat.vercel.app/Backlog-HE-ORDER-Prototype.html","https://he-eppat.vercel.app/Backlog-HE-ORDER-Prototype.html")</f>
        <v>https://he-eppat.vercel.app/Backlog-HE-ORDER-Prototype.html</v>
      </c>
      <c r="G29" s="6" t="s">
        <v>27</v>
      </c>
    </row>
    <row r="30" spans="1:7" x14ac:dyDescent="0.25">
      <c r="A30" s="5" t="s">
        <v>115</v>
      </c>
      <c r="B30" s="5"/>
      <c r="C30" s="5"/>
      <c r="D30" s="5"/>
      <c r="E30" s="5"/>
      <c r="F30" s="5"/>
      <c r="G30" s="5"/>
    </row>
    <row r="31" spans="1:7" x14ac:dyDescent="0.25">
      <c r="A31" s="6" t="s">
        <v>116</v>
      </c>
      <c r="B31" s="6" t="s">
        <v>117</v>
      </c>
      <c r="C31" s="6" t="s">
        <v>118</v>
      </c>
      <c r="D31" s="6" t="s">
        <v>119</v>
      </c>
      <c r="E31" s="7" t="s">
        <v>120</v>
      </c>
      <c r="F31" s="8" t="str">
        <f>HYPERLINK("https://he-eppat.vercel.app/Backlog-HE-ORDER-Prototype.html","https://he-eppat.vercel.app/Backlog-HE-ORDER-Prototype.html")</f>
        <v>https://he-eppat.vercel.app/Backlog-HE-ORDER-Prototype.html</v>
      </c>
      <c r="G31" s="6" t="s">
        <v>121</v>
      </c>
    </row>
    <row r="32" spans="1:7" x14ac:dyDescent="0.25">
      <c r="A32" s="6" t="s">
        <v>122</v>
      </c>
      <c r="B32" s="6" t="s">
        <v>117</v>
      </c>
      <c r="C32" s="6" t="s">
        <v>123</v>
      </c>
      <c r="D32" s="6" t="s">
        <v>124</v>
      </c>
      <c r="E32" s="7" t="s">
        <v>125</v>
      </c>
      <c r="F32" s="8" t="str">
        <f>HYPERLINK("https://he-eppat.vercel.app/Backlog-HE-ORDER-Prototype.html","https://he-eppat.vercel.app/Backlog-HE-ORDER-Prototype.html")</f>
        <v>https://he-eppat.vercel.app/Backlog-HE-ORDER-Prototype.html</v>
      </c>
      <c r="G32" s="6" t="s">
        <v>121</v>
      </c>
    </row>
    <row r="33" spans="1:7" x14ac:dyDescent="0.25">
      <c r="A33" s="6" t="s">
        <v>126</v>
      </c>
      <c r="B33" s="6" t="s">
        <v>117</v>
      </c>
      <c r="C33" s="6" t="s">
        <v>127</v>
      </c>
      <c r="D33" s="6" t="s">
        <v>128</v>
      </c>
      <c r="E33" s="7" t="s">
        <v>129</v>
      </c>
      <c r="F33" s="8" t="str">
        <f>HYPERLINK("https://he-eppat.vercel.app/Backlog-IDDS-TN-MASUK-Prototype.html","https://he-eppat.vercel.app/Backlog-IDDS-TN-MASUK-Prototype.html")</f>
        <v>https://he-eppat.vercel.app/Backlog-IDDS-TN-MASUK-Prototype.html</v>
      </c>
      <c r="G33" s="6" t="s">
        <v>130</v>
      </c>
    </row>
    <row r="34" spans="1:7" x14ac:dyDescent="0.25">
      <c r="A34" s="6" t="s">
        <v>131</v>
      </c>
      <c r="B34" s="6" t="s">
        <v>117</v>
      </c>
      <c r="C34" s="6" t="s">
        <v>132</v>
      </c>
      <c r="D34" s="6" t="s">
        <v>133</v>
      </c>
      <c r="E34" s="7" t="s">
        <v>134</v>
      </c>
      <c r="F34" s="8" t="str">
        <f>HYPERLINK("https://he-eppat.vercel.app/Backlog-HE-ORDER-Prototype.html","https://he-eppat.vercel.app/Backlog-HE-ORDER-Prototype.html")</f>
        <v>https://he-eppat.vercel.app/Backlog-HE-ORDER-Prototype.html</v>
      </c>
      <c r="G34" s="6" t="s">
        <v>135</v>
      </c>
    </row>
    <row r="35" spans="1:7" x14ac:dyDescent="0.25">
      <c r="A35" s="6" t="s">
        <v>136</v>
      </c>
      <c r="B35" s="6" t="s">
        <v>117</v>
      </c>
      <c r="C35" s="6" t="s">
        <v>137</v>
      </c>
      <c r="D35" s="6" t="s">
        <v>138</v>
      </c>
      <c r="E35" s="7" t="s">
        <v>139</v>
      </c>
      <c r="F35" s="8" t="str">
        <f>HYPERLINK("https://he-eppat.vercel.app/Backlog-HE-ORDER-Prototype.html","https://he-eppat.vercel.app/Backlog-HE-ORDER-Prototype.html")</f>
        <v>https://he-eppat.vercel.app/Backlog-HE-ORDER-Prototype.html</v>
      </c>
      <c r="G35" s="6" t="s">
        <v>27</v>
      </c>
    </row>
    <row r="36" spans="1:7" x14ac:dyDescent="0.25">
      <c r="A36" s="6" t="s">
        <v>140</v>
      </c>
      <c r="B36" s="6" t="s">
        <v>117</v>
      </c>
      <c r="C36" s="6" t="s">
        <v>141</v>
      </c>
      <c r="D36" s="6" t="s">
        <v>142</v>
      </c>
      <c r="E36" s="7" t="s">
        <v>143</v>
      </c>
      <c r="F36" s="8" t="str">
        <f>HYPERLINK("https://he-eppat.vercel.app/Backlog-IDDS-TN-MASUK-Prototype.html","https://he-eppat.vercel.app/Backlog-IDDS-TN-MASUK-Prototype.html")</f>
        <v>https://he-eppat.vercel.app/Backlog-IDDS-TN-MASUK-Prototype.html</v>
      </c>
      <c r="G36" s="6" t="s">
        <v>144</v>
      </c>
    </row>
    <row r="37" spans="1:7" x14ac:dyDescent="0.25">
      <c r="A37" s="6" t="s">
        <v>145</v>
      </c>
      <c r="B37" s="6" t="s">
        <v>117</v>
      </c>
      <c r="C37" s="6" t="s">
        <v>146</v>
      </c>
      <c r="D37" s="6" t="s">
        <v>147</v>
      </c>
      <c r="E37" s="7" t="s">
        <v>148</v>
      </c>
      <c r="F37" s="8" t="str">
        <f>HYPERLINK("https://he-eppat.vercel.app/Backlog-HE-ORDER-Prototype.html","https://he-eppat.vercel.app/Backlog-HE-ORDER-Prototype.html")</f>
        <v>https://he-eppat.vercel.app/Backlog-HE-ORDER-Prototype.html</v>
      </c>
      <c r="G37" s="6" t="s">
        <v>149</v>
      </c>
    </row>
    <row r="38" spans="1:7" x14ac:dyDescent="0.25">
      <c r="A38" s="6" t="s">
        <v>150</v>
      </c>
      <c r="B38" s="6" t="s">
        <v>117</v>
      </c>
      <c r="C38" s="6" t="s">
        <v>151</v>
      </c>
      <c r="D38" s="6" t="s">
        <v>152</v>
      </c>
      <c r="E38" s="7" t="s">
        <v>153</v>
      </c>
      <c r="F38" s="8" t="str">
        <f>HYPERLINK("https://he-eppat.vercel.app/Backlog-HE-ORDER-Prototype.html","https://he-eppat.vercel.app/Backlog-HE-ORDER-Prototype.html")</f>
        <v>https://he-eppat.vercel.app/Backlog-HE-ORDER-Prototype.html</v>
      </c>
      <c r="G38" s="6" t="s">
        <v>154</v>
      </c>
    </row>
    <row r="39" spans="1:7" x14ac:dyDescent="0.25">
      <c r="A39" s="6" t="s">
        <v>155</v>
      </c>
      <c r="B39" s="6" t="s">
        <v>117</v>
      </c>
      <c r="C39" s="6" t="s">
        <v>156</v>
      </c>
      <c r="D39" s="6" t="s">
        <v>157</v>
      </c>
      <c r="E39" s="7" t="s">
        <v>158</v>
      </c>
      <c r="F39" s="8" t="str">
        <f>HYPERLINK("https://he-eppat.vercel.app/Backlog-IDDS-TN-SYSTEM-Prototype.html","https://he-eppat.vercel.app/Backlog-IDDS-TN-SYSTEM-Prototype.html")</f>
        <v>https://he-eppat.vercel.app/Backlog-IDDS-TN-SYSTEM-Prototype.html</v>
      </c>
      <c r="G39" s="6" t="s">
        <v>159</v>
      </c>
    </row>
    <row r="40" spans="1:7" x14ac:dyDescent="0.25">
      <c r="A40" s="6" t="s">
        <v>160</v>
      </c>
      <c r="B40" s="6" t="s">
        <v>117</v>
      </c>
      <c r="C40" s="6" t="s">
        <v>161</v>
      </c>
      <c r="D40" s="6" t="s">
        <v>162</v>
      </c>
      <c r="E40" s="7" t="s">
        <v>163</v>
      </c>
      <c r="F40" s="8" t="str">
        <f>HYPERLINK("https://he-eppat.vercel.app/Backlog-HE-ORDER-Prototype.html","https://he-eppat.vercel.app/Backlog-HE-ORDER-Prototype.html")</f>
        <v>https://he-eppat.vercel.app/Backlog-HE-ORDER-Prototype.html</v>
      </c>
      <c r="G40" s="6" t="s">
        <v>164</v>
      </c>
    </row>
    <row r="41" spans="1:7" x14ac:dyDescent="0.25">
      <c r="A41" s="6" t="s">
        <v>165</v>
      </c>
      <c r="B41" s="6" t="s">
        <v>117</v>
      </c>
      <c r="C41" s="6" t="s">
        <v>166</v>
      </c>
      <c r="D41" s="6" t="s">
        <v>167</v>
      </c>
      <c r="E41" s="7" t="s">
        <v>168</v>
      </c>
      <c r="F41" s="8" t="str">
        <f>HYPERLINK("https://he-eppat.vercel.app/Backlog-IDDS-TN-EPPAT-Prototype.html","https://he-eppat.vercel.app/Backlog-IDDS-TN-EPPAT-Prototype.html")</f>
        <v>https://he-eppat.vercel.app/Backlog-IDDS-TN-EPPAT-Prototype.html</v>
      </c>
      <c r="G41" s="6" t="s">
        <v>169</v>
      </c>
    </row>
    <row r="42" spans="1:7" x14ac:dyDescent="0.25">
      <c r="A42" s="6" t="s">
        <v>170</v>
      </c>
      <c r="B42" s="6" t="s">
        <v>117</v>
      </c>
      <c r="C42" s="6" t="s">
        <v>171</v>
      </c>
      <c r="D42" s="6" t="s">
        <v>172</v>
      </c>
      <c r="E42" s="7" t="s">
        <v>173</v>
      </c>
      <c r="F42" s="8" t="str">
        <f>HYPERLINK("https://he-eppat.vercel.app/Backlog-IDDS-TN-MASUK-Prototype.html","https://he-eppat.vercel.app/Backlog-IDDS-TN-MASUK-Prototype.html")</f>
        <v>https://he-eppat.vercel.app/Backlog-IDDS-TN-MASUK-Prototype.html</v>
      </c>
      <c r="G42" s="6" t="s">
        <v>174</v>
      </c>
    </row>
    <row r="43" spans="1:7" x14ac:dyDescent="0.25">
      <c r="A43" s="6" t="s">
        <v>175</v>
      </c>
      <c r="B43" s="6" t="s">
        <v>117</v>
      </c>
      <c r="C43" s="6" t="s">
        <v>176</v>
      </c>
      <c r="D43" s="6" t="s">
        <v>177</v>
      </c>
      <c r="E43" s="7" t="s">
        <v>178</v>
      </c>
      <c r="F43" s="8" t="str">
        <f>HYPERLINK("https://he-eppat.vercel.app/Backlog-HE-ORDER-Prototype.html","https://he-eppat.vercel.app/Backlog-HE-ORDER-Prototype.html")</f>
        <v>https://he-eppat.vercel.app/Backlog-HE-ORDER-Prototype.html</v>
      </c>
      <c r="G43" s="6" t="s">
        <v>179</v>
      </c>
    </row>
    <row r="44" spans="1:7" x14ac:dyDescent="0.25">
      <c r="A44" s="6" t="s">
        <v>180</v>
      </c>
      <c r="B44" s="6" t="s">
        <v>117</v>
      </c>
      <c r="C44" s="6" t="s">
        <v>181</v>
      </c>
      <c r="D44" s="6" t="s">
        <v>182</v>
      </c>
      <c r="E44" s="7" t="s">
        <v>183</v>
      </c>
      <c r="F44" s="8" t="str">
        <f>HYPERLINK("https://he-eppat.vercel.app/Backlog-HE-ORDER-Prototype.html","https://he-eppat.vercel.app/Backlog-HE-ORDER-Prototype.html")</f>
        <v>https://he-eppat.vercel.app/Backlog-HE-ORDER-Prototype.html</v>
      </c>
      <c r="G44" s="6" t="s">
        <v>184</v>
      </c>
    </row>
    <row r="45" spans="1:7" x14ac:dyDescent="0.25">
      <c r="A45" s="6" t="s">
        <v>185</v>
      </c>
      <c r="B45" s="6" t="s">
        <v>117</v>
      </c>
      <c r="C45" s="6" t="s">
        <v>186</v>
      </c>
      <c r="D45" s="6" t="s">
        <v>187</v>
      </c>
      <c r="E45" s="7" t="s">
        <v>188</v>
      </c>
      <c r="F45" s="8" t="str">
        <f>HYPERLINK("https://he-eppat.vercel.app/Backlog-HE-ORDER-Prototype.html","https://he-eppat.vercel.app/Backlog-HE-ORDER-Prototype.html")</f>
        <v>https://he-eppat.vercel.app/Backlog-HE-ORDER-Prototype.html</v>
      </c>
      <c r="G45" s="6" t="s">
        <v>189</v>
      </c>
    </row>
    <row r="46" spans="1:7" x14ac:dyDescent="0.25">
      <c r="A46" s="6" t="s">
        <v>190</v>
      </c>
      <c r="B46" s="6" t="s">
        <v>117</v>
      </c>
      <c r="C46" s="6" t="s">
        <v>191</v>
      </c>
      <c r="D46" s="6" t="s">
        <v>192</v>
      </c>
      <c r="E46" s="7" t="s">
        <v>193</v>
      </c>
      <c r="F46" s="8" t="str">
        <f>HYPERLINK("https://he-eppat.vercel.app/Backlog-HE-ORDER-Prototype.html","https://he-eppat.vercel.app/Backlog-HE-ORDER-Prototype.html")</f>
        <v>https://he-eppat.vercel.app/Backlog-HE-ORDER-Prototype.html</v>
      </c>
      <c r="G46" s="6" t="s">
        <v>194</v>
      </c>
    </row>
    <row r="47" spans="1:7" x14ac:dyDescent="0.25">
      <c r="A47" s="6" t="s">
        <v>195</v>
      </c>
      <c r="B47" s="6" t="s">
        <v>117</v>
      </c>
      <c r="C47" s="6" t="s">
        <v>196</v>
      </c>
      <c r="D47" s="6" t="s">
        <v>197</v>
      </c>
      <c r="E47" s="7" t="s">
        <v>198</v>
      </c>
      <c r="F47" s="8" t="str">
        <f>HYPERLINK("https://he-eppat.vercel.app/Backlog-HE-ORDER-Prototype.html","https://he-eppat.vercel.app/Backlog-HE-ORDER-Prototype.html")</f>
        <v>https://he-eppat.vercel.app/Backlog-HE-ORDER-Prototype.html</v>
      </c>
      <c r="G47" s="6" t="s">
        <v>199</v>
      </c>
    </row>
    <row r="48" spans="1:7" x14ac:dyDescent="0.25">
      <c r="A48" s="6" t="s">
        <v>200</v>
      </c>
      <c r="B48" s="6" t="s">
        <v>117</v>
      </c>
      <c r="C48" s="6" t="s">
        <v>201</v>
      </c>
      <c r="D48" s="6" t="s">
        <v>202</v>
      </c>
      <c r="E48" s="7" t="s">
        <v>203</v>
      </c>
      <c r="F48" s="8" t="str">
        <f>HYPERLINK("https://he-eppat.vercel.app/Backlog-HE-ORDER-Prototype.html","https://he-eppat.vercel.app/Backlog-HE-ORDER-Prototype.html")</f>
        <v>https://he-eppat.vercel.app/Backlog-HE-ORDER-Prototype.html</v>
      </c>
      <c r="G48" s="6" t="s">
        <v>204</v>
      </c>
    </row>
    <row r="49" spans="1:7" x14ac:dyDescent="0.25">
      <c r="A49" s="6" t="s">
        <v>205</v>
      </c>
      <c r="B49" s="6" t="s">
        <v>117</v>
      </c>
      <c r="C49" s="6" t="s">
        <v>206</v>
      </c>
      <c r="D49" s="6" t="s">
        <v>207</v>
      </c>
      <c r="E49" s="7" t="s">
        <v>208</v>
      </c>
      <c r="F49" s="8" t="str">
        <f>HYPERLINK("https://he-eppat.vercel.app/Backlog-HE-ORDER-Prototype.html","https://he-eppat.vercel.app/Backlog-HE-ORDER-Prototype.html")</f>
        <v>https://he-eppat.vercel.app/Backlog-HE-ORDER-Prototype.html</v>
      </c>
      <c r="G49" s="6" t="s">
        <v>209</v>
      </c>
    </row>
    <row r="50" spans="1:7" x14ac:dyDescent="0.25">
      <c r="A50" s="6" t="s">
        <v>210</v>
      </c>
      <c r="B50" s="6" t="s">
        <v>117</v>
      </c>
      <c r="C50" s="6" t="s">
        <v>211</v>
      </c>
      <c r="D50" s="6" t="s">
        <v>212</v>
      </c>
      <c r="E50" s="7" t="s">
        <v>213</v>
      </c>
      <c r="F50" s="8" t="str">
        <f>HYPERLINK("https://he-eppat.vercel.app/Backlog-HE-ORDER-Prototype.html","https://he-eppat.vercel.app/Backlog-HE-ORDER-Prototype.html")</f>
        <v>https://he-eppat.vercel.app/Backlog-HE-ORDER-Prototype.html</v>
      </c>
      <c r="G50" s="6" t="s">
        <v>214</v>
      </c>
    </row>
    <row r="51" spans="1:7" x14ac:dyDescent="0.25">
      <c r="A51" s="6" t="s">
        <v>215</v>
      </c>
      <c r="B51" s="6" t="s">
        <v>117</v>
      </c>
      <c r="C51" s="6" t="s">
        <v>216</v>
      </c>
      <c r="D51" s="6" t="s">
        <v>217</v>
      </c>
      <c r="E51" s="7" t="s">
        <v>218</v>
      </c>
      <c r="F51" s="8" t="str">
        <f>HYPERLINK("https://he-eppat.vercel.app/Backlog-HE-ORDER-Prototype.html","https://he-eppat.vercel.app/Backlog-HE-ORDER-Prototype.html")</f>
        <v>https://he-eppat.vercel.app/Backlog-HE-ORDER-Prototype.html</v>
      </c>
      <c r="G51" s="6" t="s">
        <v>219</v>
      </c>
    </row>
    <row r="52" spans="1:7" x14ac:dyDescent="0.25">
      <c r="A52" s="6" t="s">
        <v>220</v>
      </c>
      <c r="B52" s="6" t="s">
        <v>117</v>
      </c>
      <c r="C52" s="6" t="s">
        <v>221</v>
      </c>
      <c r="D52" s="6" t="s">
        <v>222</v>
      </c>
      <c r="E52" s="7" t="s">
        <v>223</v>
      </c>
      <c r="F52" s="8" t="str">
        <f>HYPERLINK("https://he-eppat.vercel.app/Backlog-HE-USER-Prototype.html","https://he-eppat.vercel.app/Backlog-HE-USER-Prototype.html")</f>
        <v>https://he-eppat.vercel.app/Backlog-HE-USER-Prototype.html</v>
      </c>
      <c r="G52" s="6" t="s">
        <v>224</v>
      </c>
    </row>
    <row r="53" spans="1:7" x14ac:dyDescent="0.25">
      <c r="A53" s="6" t="s">
        <v>225</v>
      </c>
      <c r="B53" s="6" t="s">
        <v>117</v>
      </c>
      <c r="C53" s="6" t="s">
        <v>226</v>
      </c>
      <c r="D53" s="6" t="s">
        <v>227</v>
      </c>
      <c r="E53" s="7" t="s">
        <v>228</v>
      </c>
      <c r="F53" s="8" t="str">
        <f>HYPERLINK("https://he-eppat.vercel.app/Backlog-HE-ORDER-Prototype.html","https://he-eppat.vercel.app/Backlog-HE-ORDER-Prototype.html")</f>
        <v>https://he-eppat.vercel.app/Backlog-HE-ORDER-Prototype.html</v>
      </c>
      <c r="G53" s="6" t="s">
        <v>91</v>
      </c>
    </row>
    <row r="54" spans="1:7" x14ac:dyDescent="0.25">
      <c r="A54" s="5" t="s">
        <v>229</v>
      </c>
      <c r="B54" s="5"/>
      <c r="C54" s="5"/>
      <c r="D54" s="5"/>
      <c r="E54" s="5"/>
      <c r="F54" s="5"/>
      <c r="G54" s="5"/>
    </row>
    <row r="55" spans="1:7" x14ac:dyDescent="0.25">
      <c r="A55" s="6" t="s">
        <v>230</v>
      </c>
      <c r="B55" s="6" t="s">
        <v>231</v>
      </c>
      <c r="C55" s="6" t="s">
        <v>232</v>
      </c>
      <c r="D55" s="6" t="s">
        <v>233</v>
      </c>
      <c r="E55" s="7" t="s">
        <v>234</v>
      </c>
      <c r="F55" s="8" t="str">
        <f>HYPERLINK("https://he-eppat.vercel.app/Backlog-IDDS-TN-MASUK-Prototype.html","https://he-eppat.vercel.app/Backlog-IDDS-TN-MASUK-Prototype.html")</f>
        <v>https://he-eppat.vercel.app/Backlog-IDDS-TN-MASUK-Prototype.html</v>
      </c>
      <c r="G55" s="6" t="s">
        <v>235</v>
      </c>
    </row>
    <row r="56" spans="1:7" x14ac:dyDescent="0.25">
      <c r="A56" s="6" t="s">
        <v>236</v>
      </c>
      <c r="B56" s="6" t="s">
        <v>231</v>
      </c>
      <c r="C56" s="6" t="s">
        <v>237</v>
      </c>
      <c r="D56" s="6" t="s">
        <v>238</v>
      </c>
      <c r="E56" s="7" t="s">
        <v>239</v>
      </c>
      <c r="F56" s="8" t="str">
        <f>HYPERLINK("https://he-eppat.vercel.app/Backlog-IDDS-TN-EPPAT-Prototype.html","https://he-eppat.vercel.app/Backlog-IDDS-TN-EPPAT-Prototype.html")</f>
        <v>https://he-eppat.vercel.app/Backlog-IDDS-TN-EPPAT-Prototype.html</v>
      </c>
      <c r="G56" s="6" t="s">
        <v>240</v>
      </c>
    </row>
    <row r="57" spans="1:7" x14ac:dyDescent="0.25">
      <c r="A57" s="6" t="s">
        <v>241</v>
      </c>
      <c r="B57" s="6" t="s">
        <v>231</v>
      </c>
      <c r="C57" s="6" t="s">
        <v>242</v>
      </c>
      <c r="D57" s="6" t="s">
        <v>243</v>
      </c>
      <c r="E57" s="7" t="s">
        <v>244</v>
      </c>
      <c r="F57" s="8" t="str">
        <f>HYPERLINK("https://he-eppat.vercel.app/Backlog-IDDS-TN-MASUK-Prototype.html","https://he-eppat.vercel.app/Backlog-IDDS-TN-MASUK-Prototype.html")</f>
        <v>https://he-eppat.vercel.app/Backlog-IDDS-TN-MASUK-Prototype.html</v>
      </c>
      <c r="G57" s="6" t="s">
        <v>245</v>
      </c>
    </row>
    <row r="58" spans="1:7" x14ac:dyDescent="0.25">
      <c r="A58" s="6" t="s">
        <v>246</v>
      </c>
      <c r="B58" s="6" t="s">
        <v>231</v>
      </c>
      <c r="C58" s="6" t="s">
        <v>247</v>
      </c>
      <c r="D58" s="6" t="s">
        <v>248</v>
      </c>
      <c r="E58" s="7" t="s">
        <v>249</v>
      </c>
      <c r="F58" s="8" t="str">
        <f>HYPERLINK("https://he-eppat.vercel.app/Backlog-HE-ORDER-Prototype.html","https://he-eppat.vercel.app/Backlog-HE-ORDER-Prototype.html")</f>
        <v>https://he-eppat.vercel.app/Backlog-HE-ORDER-Prototype.html</v>
      </c>
      <c r="G58" s="6" t="s">
        <v>250</v>
      </c>
    </row>
    <row r="59" spans="1:7" x14ac:dyDescent="0.25">
      <c r="A59" s="6" t="s">
        <v>251</v>
      </c>
      <c r="B59" s="6" t="s">
        <v>231</v>
      </c>
      <c r="C59" s="6" t="s">
        <v>252</v>
      </c>
      <c r="D59" s="6" t="s">
        <v>253</v>
      </c>
      <c r="E59" s="7" t="s">
        <v>254</v>
      </c>
      <c r="F59" s="8" t="str">
        <f>HYPERLINK("https://he-eppat.vercel.app/Backlog-IDDS-TN-SYSTEM-Prototype.html","https://he-eppat.vercel.app/Backlog-IDDS-TN-SYSTEM-Prototype.html")</f>
        <v>https://he-eppat.vercel.app/Backlog-IDDS-TN-SYSTEM-Prototype.html</v>
      </c>
      <c r="G59" s="6" t="s">
        <v>255</v>
      </c>
    </row>
    <row r="60" spans="1:7" x14ac:dyDescent="0.25">
      <c r="A60" s="6" t="s">
        <v>256</v>
      </c>
      <c r="B60" s="6" t="s">
        <v>231</v>
      </c>
      <c r="C60" s="6" t="s">
        <v>257</v>
      </c>
      <c r="D60" s="6" t="s">
        <v>258</v>
      </c>
      <c r="E60" s="7" t="s">
        <v>259</v>
      </c>
      <c r="F60" s="8" t="str">
        <f>HYPERLINK("https://he-eppat.vercel.app/Backlog-IDDS-TN-CMS-Prototype.html","https://he-eppat.vercel.app/Backlog-IDDS-TN-CMS-Prototype.html")</f>
        <v>https://he-eppat.vercel.app/Backlog-IDDS-TN-CMS-Prototype.html</v>
      </c>
      <c r="G60" s="6" t="s">
        <v>260</v>
      </c>
    </row>
    <row r="61" spans="1:7" x14ac:dyDescent="0.25">
      <c r="A61" s="6" t="s">
        <v>261</v>
      </c>
      <c r="B61" s="6" t="s">
        <v>231</v>
      </c>
      <c r="C61" s="6" t="s">
        <v>262</v>
      </c>
      <c r="D61" s="6" t="s">
        <v>263</v>
      </c>
      <c r="E61" s="7" t="s">
        <v>264</v>
      </c>
      <c r="F61" s="8" t="str">
        <f>HYPERLINK("https://he-eppat.vercel.app/Backlog-IDDS-TN-EPPAT-Prototype.html","https://he-eppat.vercel.app/Backlog-IDDS-TN-EPPAT-Prototype.html")</f>
        <v>https://he-eppat.vercel.app/Backlog-IDDS-TN-EPPAT-Prototype.html</v>
      </c>
      <c r="G61" s="6" t="s">
        <v>265</v>
      </c>
    </row>
    <row r="62" spans="1:7" x14ac:dyDescent="0.25">
      <c r="A62" s="6" t="s">
        <v>266</v>
      </c>
      <c r="B62" s="6" t="s">
        <v>231</v>
      </c>
      <c r="C62" s="6" t="s">
        <v>267</v>
      </c>
      <c r="D62" s="6" t="s">
        <v>268</v>
      </c>
      <c r="E62" s="7" t="s">
        <v>269</v>
      </c>
      <c r="F62" s="8" t="str">
        <f>HYPERLINK("https://he-eppat.vercel.app/Backlog-IDDS-TN-MASUK-Prototype.html","https://he-eppat.vercel.app/Backlog-IDDS-TN-MASUK-Prototype.html")</f>
        <v>https://he-eppat.vercel.app/Backlog-IDDS-TN-MASUK-Prototype.html</v>
      </c>
      <c r="G62" s="6" t="s">
        <v>270</v>
      </c>
    </row>
    <row r="63" spans="1:7" x14ac:dyDescent="0.25">
      <c r="A63" s="6" t="s">
        <v>271</v>
      </c>
      <c r="B63" s="6" t="s">
        <v>231</v>
      </c>
      <c r="C63" s="6" t="s">
        <v>272</v>
      </c>
      <c r="D63" s="6" t="s">
        <v>273</v>
      </c>
      <c r="E63" s="7" t="s">
        <v>274</v>
      </c>
      <c r="F63" s="8" t="str">
        <f>HYPERLINK("https://he-eppat.vercel.app/Backlog-IDDS-TN-EPPAT-Prototype.html","https://he-eppat.vercel.app/Backlog-IDDS-TN-EPPAT-Prototype.html")</f>
        <v>https://he-eppat.vercel.app/Backlog-IDDS-TN-EPPAT-Prototype.html</v>
      </c>
      <c r="G63" s="6" t="s">
        <v>275</v>
      </c>
    </row>
    <row r="64" spans="1:7" x14ac:dyDescent="0.25">
      <c r="A64" s="6" t="s">
        <v>276</v>
      </c>
      <c r="B64" s="6" t="s">
        <v>231</v>
      </c>
      <c r="C64" s="6" t="s">
        <v>277</v>
      </c>
      <c r="D64" s="6" t="s">
        <v>278</v>
      </c>
      <c r="E64" s="7" t="s">
        <v>279</v>
      </c>
      <c r="F64" s="8" t="str">
        <f>HYPERLINK("https://he-eppat.vercel.app/Backlog-HE-ORDER-Prototype.html","https://he-eppat.vercel.app/Backlog-HE-ORDER-Prototype.html")</f>
        <v>https://he-eppat.vercel.app/Backlog-HE-ORDER-Prototype.html</v>
      </c>
      <c r="G64" s="6" t="s">
        <v>280</v>
      </c>
    </row>
    <row r="65" spans="1:7" x14ac:dyDescent="0.25">
      <c r="A65" s="6" t="s">
        <v>281</v>
      </c>
      <c r="B65" s="6" t="s">
        <v>231</v>
      </c>
      <c r="C65" s="6" t="s">
        <v>282</v>
      </c>
      <c r="D65" s="6" t="s">
        <v>283</v>
      </c>
      <c r="E65" s="7" t="s">
        <v>284</v>
      </c>
      <c r="F65" s="8" t="str">
        <f>HYPERLINK("https://he-eppat.vercel.app/Backlog-HE-ORDER-Prototype.html","https://he-eppat.vercel.app/Backlog-HE-ORDER-Prototype.html")</f>
        <v>https://he-eppat.vercel.app/Backlog-HE-ORDER-Prototype.html</v>
      </c>
      <c r="G65" s="6" t="s">
        <v>285</v>
      </c>
    </row>
    <row r="66" spans="1:7" x14ac:dyDescent="0.25">
      <c r="A66" s="6" t="s">
        <v>286</v>
      </c>
      <c r="B66" s="6" t="s">
        <v>231</v>
      </c>
      <c r="C66" s="6" t="s">
        <v>287</v>
      </c>
      <c r="D66" s="6" t="s">
        <v>288</v>
      </c>
      <c r="E66" s="7" t="s">
        <v>289</v>
      </c>
      <c r="F66" s="8" t="str">
        <f>HYPERLINK("https://he-eppat.vercel.app/Backlog-HE-USER-Prototype.html","https://he-eppat.vercel.app/Backlog-HE-USER-Prototype.html")</f>
        <v>https://he-eppat.vercel.app/Backlog-HE-USER-Prototype.html</v>
      </c>
      <c r="G66" s="6" t="s">
        <v>290</v>
      </c>
    </row>
    <row r="67" spans="1:7" x14ac:dyDescent="0.25">
      <c r="A67" s="5" t="s">
        <v>291</v>
      </c>
      <c r="B67" s="5"/>
      <c r="C67" s="5"/>
      <c r="D67" s="5"/>
      <c r="E67" s="5"/>
      <c r="F67" s="5"/>
      <c r="G67" s="5"/>
    </row>
    <row r="68" spans="1:7" x14ac:dyDescent="0.25">
      <c r="A68" s="6" t="s">
        <v>292</v>
      </c>
      <c r="B68" s="6" t="s">
        <v>293</v>
      </c>
      <c r="C68" s="6" t="s">
        <v>294</v>
      </c>
      <c r="D68" s="6" t="s">
        <v>295</v>
      </c>
      <c r="E68" s="7" t="s">
        <v>296</v>
      </c>
      <c r="F68" s="8" t="str">
        <f>HYPERLINK("https://he-eppat.vercel.app/Backlog-IDDS-TN-MASUK-Prototype.html","https://he-eppat.vercel.app/Backlog-IDDS-TN-MASUK-Prototype.html")</f>
        <v>https://he-eppat.vercel.app/Backlog-IDDS-TN-MASUK-Prototype.html</v>
      </c>
      <c r="G68" s="6" t="s">
        <v>297</v>
      </c>
    </row>
    <row r="69" spans="1:7" x14ac:dyDescent="0.25">
      <c r="A69" s="6" t="s">
        <v>298</v>
      </c>
      <c r="B69" s="6" t="s">
        <v>293</v>
      </c>
      <c r="C69" s="6" t="s">
        <v>299</v>
      </c>
      <c r="D69" s="6" t="s">
        <v>300</v>
      </c>
      <c r="E69" s="7" t="s">
        <v>301</v>
      </c>
      <c r="F69" s="8" t="str">
        <f>HYPERLINK("https://he-eppat.vercel.app/Backlog-HE-ORDER-Prototype.html","https://he-eppat.vercel.app/Backlog-HE-ORDER-Prototype.html")</f>
        <v>https://he-eppat.vercel.app/Backlog-HE-ORDER-Prototype.html</v>
      </c>
      <c r="G69" s="6" t="s">
        <v>27</v>
      </c>
    </row>
    <row r="70" spans="1:7" x14ac:dyDescent="0.25">
      <c r="A70" s="6" t="s">
        <v>302</v>
      </c>
      <c r="B70" s="6" t="s">
        <v>293</v>
      </c>
      <c r="C70" s="6" t="s">
        <v>303</v>
      </c>
      <c r="D70" s="6" t="s">
        <v>304</v>
      </c>
      <c r="E70" s="7" t="s">
        <v>305</v>
      </c>
      <c r="F70" s="8" t="str">
        <f>HYPERLINK("https://he-eppat.vercel.app/Backlog-IDDS-TN-SYSTEM-Prototype.html","https://he-eppat.vercel.app/Backlog-IDDS-TN-SYSTEM-Prototype.html")</f>
        <v>https://he-eppat.vercel.app/Backlog-IDDS-TN-SYSTEM-Prototype.html</v>
      </c>
      <c r="G70" s="6" t="s">
        <v>149</v>
      </c>
    </row>
    <row r="71" spans="1:7" x14ac:dyDescent="0.25">
      <c r="A71" s="6" t="s">
        <v>306</v>
      </c>
      <c r="B71" s="6" t="s">
        <v>293</v>
      </c>
      <c r="C71" s="6" t="s">
        <v>307</v>
      </c>
      <c r="D71" s="6" t="s">
        <v>308</v>
      </c>
      <c r="E71" s="7" t="s">
        <v>309</v>
      </c>
      <c r="F71" s="8" t="str">
        <f>HYPERLINK("https://he-eppat.vercel.app/Brand-Mode-EPPAT-IDDS.html","https://he-eppat.vercel.app/Brand-Mode-EPPAT-IDDS.html")</f>
        <v>https://he-eppat.vercel.app/Brand-Mode-EPPAT-IDDS.html</v>
      </c>
      <c r="G71" s="6" t="s">
        <v>27</v>
      </c>
    </row>
    <row r="72" spans="1:7" x14ac:dyDescent="0.25">
      <c r="A72" s="6" t="s">
        <v>310</v>
      </c>
      <c r="B72" s="6" t="s">
        <v>293</v>
      </c>
      <c r="C72" s="6" t="s">
        <v>311</v>
      </c>
      <c r="D72" s="6" t="s">
        <v>312</v>
      </c>
      <c r="E72" s="7" t="s">
        <v>313</v>
      </c>
      <c r="F72" s="8" t="str">
        <f>HYPERLINK("https://he-eppat.vercel.app/Backlog-IDDS-TN-SYSTEM-Prototype.html","https://he-eppat.vercel.app/Backlog-IDDS-TN-SYSTEM-Prototype.html")</f>
        <v>https://he-eppat.vercel.app/Backlog-IDDS-TN-SYSTEM-Prototype.html</v>
      </c>
      <c r="G72" s="6" t="s">
        <v>27</v>
      </c>
    </row>
    <row r="73" spans="1:7" x14ac:dyDescent="0.25">
      <c r="A73" s="6" t="s">
        <v>314</v>
      </c>
      <c r="B73" s="6" t="s">
        <v>293</v>
      </c>
      <c r="C73" s="6" t="s">
        <v>315</v>
      </c>
      <c r="D73" s="6" t="s">
        <v>316</v>
      </c>
      <c r="E73" s="7" t="s">
        <v>317</v>
      </c>
      <c r="F73" s="8" t="str">
        <f>HYPERLINK("https://he-eppat.vercel.app/Backlog-HE-VERIF-Prototype.html","https://he-eppat.vercel.app/Backlog-HE-VERIF-Prototype.html")</f>
        <v>https://he-eppat.vercel.app/Backlog-HE-VERIF-Prototype.html</v>
      </c>
      <c r="G73" s="6" t="s">
        <v>27</v>
      </c>
    </row>
    <row r="74" spans="1:7" x14ac:dyDescent="0.25">
      <c r="A74" s="6" t="s">
        <v>318</v>
      </c>
      <c r="B74" s="6" t="s">
        <v>293</v>
      </c>
      <c r="C74" s="6" t="s">
        <v>319</v>
      </c>
      <c r="D74" s="6" t="s">
        <v>320</v>
      </c>
      <c r="E74" s="7" t="s">
        <v>321</v>
      </c>
      <c r="F74" s="8" t="str">
        <f>HYPERLINK("https://he-eppat.vercel.app/Backlog-HE-ORDER-Prototype.html","https://he-eppat.vercel.app/Backlog-HE-ORDER-Prototype.html")</f>
        <v>https://he-eppat.vercel.app/Backlog-HE-ORDER-Prototype.html</v>
      </c>
      <c r="G74" s="6" t="s">
        <v>322</v>
      </c>
    </row>
    <row r="75" spans="1:7" x14ac:dyDescent="0.25">
      <c r="A75" s="6" t="s">
        <v>323</v>
      </c>
      <c r="B75" s="6" t="s">
        <v>293</v>
      </c>
      <c r="C75" s="6" t="s">
        <v>324</v>
      </c>
      <c r="D75" s="6" t="s">
        <v>325</v>
      </c>
      <c r="E75" s="7" t="s">
        <v>326</v>
      </c>
      <c r="F75" s="8" t="str">
        <f>HYPERLINK("https://he-eppat.vercel.app/Backlog-HE-ORDER-Prototype.html","https://he-eppat.vercel.app/Backlog-HE-ORDER-Prototype.html")</f>
        <v>https://he-eppat.vercel.app/Backlog-HE-ORDER-Prototype.html</v>
      </c>
      <c r="G75" s="6" t="s">
        <v>27</v>
      </c>
    </row>
    <row r="76" spans="1:7" x14ac:dyDescent="0.25">
      <c r="A76" s="5" t="s">
        <v>327</v>
      </c>
      <c r="B76" s="5"/>
      <c r="C76" s="5"/>
      <c r="D76" s="5"/>
      <c r="E76" s="5"/>
      <c r="F76" s="5"/>
      <c r="G76" s="5"/>
    </row>
    <row r="77" spans="1:7" x14ac:dyDescent="0.25">
      <c r="A77" s="6" t="s">
        <v>328</v>
      </c>
      <c r="B77" s="6" t="s">
        <v>329</v>
      </c>
      <c r="C77" s="6" t="s">
        <v>330</v>
      </c>
      <c r="D77" s="6" t="s">
        <v>331</v>
      </c>
      <c r="E77" s="7" t="s">
        <v>332</v>
      </c>
      <c r="F77" s="8" t="str">
        <f>HYPERLINK("https://he-eppat.vercel.app/Backlog-IDDS-TN-SYSTEM-Prototype.html","https://he-eppat.vercel.app/Backlog-IDDS-TN-SYSTEM-Prototype.html")</f>
        <v>https://he-eppat.vercel.app/Backlog-IDDS-TN-SYSTEM-Prototype.html</v>
      </c>
      <c r="G77" s="6" t="s">
        <v>333</v>
      </c>
    </row>
    <row r="78" spans="1:7" x14ac:dyDescent="0.25">
      <c r="A78" s="6" t="s">
        <v>334</v>
      </c>
      <c r="B78" s="6" t="s">
        <v>329</v>
      </c>
      <c r="C78" s="6" t="s">
        <v>335</v>
      </c>
      <c r="D78" s="6" t="s">
        <v>336</v>
      </c>
      <c r="E78" s="7" t="s">
        <v>337</v>
      </c>
      <c r="F78" s="8" t="str">
        <f>HYPERLINK("https://he-eppat.vercel.app/Backlog-HE-USER-Prototype.html","https://he-eppat.vercel.app/Backlog-HE-USER-Prototype.html")</f>
        <v>https://he-eppat.vercel.app/Backlog-HE-USER-Prototype.html</v>
      </c>
      <c r="G78" s="6" t="s">
        <v>338</v>
      </c>
    </row>
    <row r="79" spans="1:7" x14ac:dyDescent="0.25">
      <c r="A79" s="6" t="s">
        <v>339</v>
      </c>
      <c r="B79" s="6" t="s">
        <v>329</v>
      </c>
      <c r="C79" s="6" t="s">
        <v>340</v>
      </c>
      <c r="D79" s="6" t="s">
        <v>341</v>
      </c>
      <c r="E79" s="7" t="s">
        <v>342</v>
      </c>
      <c r="F79" s="8" t="str">
        <f>HYPERLINK("https://he-eppat.vercel.app/Backlog-IDDS-TN-SYSTEM-Prototype.html","https://he-eppat.vercel.app/Backlog-IDDS-TN-SYSTEM-Prototype.html")</f>
        <v>https://he-eppat.vercel.app/Backlog-IDDS-TN-SYSTEM-Prototype.html</v>
      </c>
      <c r="G79" s="6" t="s">
        <v>81</v>
      </c>
    </row>
    <row r="80" spans="1:7" x14ac:dyDescent="0.25">
      <c r="A80" s="6" t="s">
        <v>343</v>
      </c>
      <c r="B80" s="6" t="s">
        <v>329</v>
      </c>
      <c r="C80" s="6" t="s">
        <v>344</v>
      </c>
      <c r="D80" s="6" t="s">
        <v>345</v>
      </c>
      <c r="E80" s="7" t="s">
        <v>346</v>
      </c>
      <c r="F80" s="8" t="str">
        <f>HYPERLINK("https://he-eppat.vercel.app/Backlog-HE-ORDER-Prototype.html","https://he-eppat.vercel.app/Backlog-HE-ORDER-Prototype.html")</f>
        <v>https://he-eppat.vercel.app/Backlog-HE-ORDER-Prototype.html</v>
      </c>
      <c r="G80" s="6" t="s">
        <v>347</v>
      </c>
    </row>
    <row r="81" spans="1:7" x14ac:dyDescent="0.25">
      <c r="A81" s="6" t="s">
        <v>348</v>
      </c>
      <c r="B81" s="6" t="s">
        <v>329</v>
      </c>
      <c r="C81" s="6" t="s">
        <v>349</v>
      </c>
      <c r="D81" s="6" t="s">
        <v>350</v>
      </c>
      <c r="E81" s="7" t="s">
        <v>351</v>
      </c>
      <c r="F81" s="8" t="str">
        <f>HYPERLINK("https://he-eppat.vercel.app/Backlog-IDDS-TN-MASUK-Prototype.html","https://he-eppat.vercel.app/Backlog-IDDS-TN-MASUK-Prototype.html")</f>
        <v>https://he-eppat.vercel.app/Backlog-IDDS-TN-MASUK-Prototype.html</v>
      </c>
      <c r="G81" s="6" t="s">
        <v>352</v>
      </c>
    </row>
    <row r="82" spans="1:7" x14ac:dyDescent="0.25">
      <c r="A82" s="6" t="s">
        <v>353</v>
      </c>
      <c r="B82" s="6" t="s">
        <v>329</v>
      </c>
      <c r="C82" s="6" t="s">
        <v>354</v>
      </c>
      <c r="D82" s="6" t="s">
        <v>355</v>
      </c>
      <c r="E82" s="7" t="s">
        <v>356</v>
      </c>
      <c r="F82" s="8" t="str">
        <f>HYPERLINK("https://he-eppat.vercel.app/Backlog-IDDS-TN-EPPAT-Prototype.html","https://he-eppat.vercel.app/Backlog-IDDS-TN-EPPAT-Prototype.html")</f>
        <v>https://he-eppat.vercel.app/Backlog-IDDS-TN-EPPAT-Prototype.html</v>
      </c>
      <c r="G82" s="6" t="s">
        <v>357</v>
      </c>
    </row>
    <row r="83" spans="1:7" x14ac:dyDescent="0.25">
      <c r="A83" s="6" t="s">
        <v>358</v>
      </c>
      <c r="B83" s="6" t="s">
        <v>329</v>
      </c>
      <c r="C83" s="6" t="s">
        <v>359</v>
      </c>
      <c r="D83" s="6" t="s">
        <v>360</v>
      </c>
      <c r="E83" s="7" t="s">
        <v>361</v>
      </c>
      <c r="F83" s="8" t="str">
        <f>HYPERLINK("https://he-eppat.vercel.app/Backlog-HE-ORDER-Prototype.html","https://he-eppat.vercel.app/Backlog-HE-ORDER-Prototype.html")</f>
        <v>https://he-eppat.vercel.app/Backlog-HE-ORDER-Prototype.html</v>
      </c>
      <c r="G83" s="6" t="s">
        <v>27</v>
      </c>
    </row>
    <row r="84" spans="1:7" x14ac:dyDescent="0.25">
      <c r="A84" s="6" t="s">
        <v>362</v>
      </c>
      <c r="B84" s="6" t="s">
        <v>329</v>
      </c>
      <c r="C84" s="6" t="s">
        <v>363</v>
      </c>
      <c r="D84" s="6" t="s">
        <v>364</v>
      </c>
      <c r="E84" s="7" t="s">
        <v>365</v>
      </c>
      <c r="F84" s="8" t="str">
        <f>HYPERLINK("https://he-eppat.vercel.app/Backlog-HE-VERIF-Prototype.html","https://he-eppat.vercel.app/Backlog-HE-VERIF-Prototype.html")</f>
        <v>https://he-eppat.vercel.app/Backlog-HE-VERIF-Prototype.html</v>
      </c>
      <c r="G84" s="6" t="s">
        <v>366</v>
      </c>
    </row>
    <row r="85" spans="1:7" x14ac:dyDescent="0.25">
      <c r="A85" s="6" t="s">
        <v>367</v>
      </c>
      <c r="B85" s="6" t="s">
        <v>329</v>
      </c>
      <c r="C85" s="6" t="s">
        <v>368</v>
      </c>
      <c r="D85" s="6" t="s">
        <v>369</v>
      </c>
      <c r="E85" s="7" t="s">
        <v>370</v>
      </c>
      <c r="F85" s="8" t="str">
        <f>HYPERLINK("https://he-eppat.vercel.app/Backlog-IDDS-TN-EPPAT-Prototype.html","https://he-eppat.vercel.app/Backlog-IDDS-TN-EPPAT-Prototype.html")</f>
        <v>https://he-eppat.vercel.app/Backlog-IDDS-TN-EPPAT-Prototype.html</v>
      </c>
      <c r="G85" s="6" t="s">
        <v>371</v>
      </c>
    </row>
    <row r="86" spans="1:7" x14ac:dyDescent="0.25">
      <c r="A86" s="6" t="s">
        <v>372</v>
      </c>
      <c r="B86" s="6" t="s">
        <v>329</v>
      </c>
      <c r="C86" s="6" t="s">
        <v>373</v>
      </c>
      <c r="D86" s="6" t="s">
        <v>374</v>
      </c>
      <c r="E86" s="7" t="s">
        <v>375</v>
      </c>
      <c r="F86" s="8" t="str">
        <f>HYPERLINK("https://he-eppat.vercel.app/Backlog-IDDS-TN-EPPAT-Prototype.html","https://he-eppat.vercel.app/Backlog-IDDS-TN-EPPAT-Prototype.html")</f>
        <v>https://he-eppat.vercel.app/Backlog-IDDS-TN-EPPAT-Prototype.html</v>
      </c>
      <c r="G86" s="6" t="s">
        <v>376</v>
      </c>
    </row>
    <row r="87" spans="1:7" x14ac:dyDescent="0.25">
      <c r="A87" s="5" t="s">
        <v>377</v>
      </c>
      <c r="B87" s="5"/>
      <c r="C87" s="5"/>
      <c r="D87" s="5"/>
      <c r="E87" s="5"/>
      <c r="F87" s="5"/>
      <c r="G87" s="5"/>
    </row>
    <row r="88" spans="1:7" x14ac:dyDescent="0.25">
      <c r="A88" s="6" t="s">
        <v>378</v>
      </c>
      <c r="B88" s="6" t="s">
        <v>379</v>
      </c>
      <c r="C88" s="6" t="s">
        <v>380</v>
      </c>
      <c r="D88" s="6" t="s">
        <v>381</v>
      </c>
      <c r="E88" s="7" t="s">
        <v>382</v>
      </c>
      <c r="F88" s="6" t="s">
        <v>40</v>
      </c>
      <c r="G88" s="6" t="s">
        <v>22</v>
      </c>
    </row>
    <row r="89" spans="1:7" x14ac:dyDescent="0.25">
      <c r="A89" s="6" t="s">
        <v>383</v>
      </c>
      <c r="B89" s="6" t="s">
        <v>379</v>
      </c>
      <c r="C89" s="6" t="s">
        <v>60</v>
      </c>
      <c r="D89" s="6" t="s">
        <v>384</v>
      </c>
      <c r="E89" s="7" t="s">
        <v>385</v>
      </c>
      <c r="F89" s="8" t="str">
        <f>HYPERLINK("https://he-eppat.vercel.app/Backlog-HE-ORDER-Prototype.html","https://he-eppat.vercel.app/Backlog-HE-ORDER-Prototype.html")</f>
        <v>https://he-eppat.vercel.app/Backlog-HE-ORDER-Prototype.html</v>
      </c>
      <c r="G89" s="6" t="s">
        <v>91</v>
      </c>
    </row>
    <row r="90" spans="1:7" x14ac:dyDescent="0.25">
      <c r="A90" s="6" t="s">
        <v>386</v>
      </c>
      <c r="B90" s="6" t="s">
        <v>379</v>
      </c>
      <c r="C90" s="6" t="s">
        <v>387</v>
      </c>
      <c r="D90" s="6" t="s">
        <v>388</v>
      </c>
      <c r="E90" s="7" t="s">
        <v>389</v>
      </c>
      <c r="F90" s="8" t="str">
        <f>HYPERLINK("https://he-eppat.vercel.app/Backlog-IDDS-TN-MASUK-Prototype.html","https://he-eppat.vercel.app/Backlog-IDDS-TN-MASUK-Prototype.html")</f>
        <v>https://he-eppat.vercel.app/Backlog-IDDS-TN-MASUK-Prototype.html</v>
      </c>
      <c r="G90" s="6" t="s">
        <v>390</v>
      </c>
    </row>
    <row r="91" spans="1:7" x14ac:dyDescent="0.25">
      <c r="A91" s="6" t="s">
        <v>391</v>
      </c>
      <c r="B91" s="6" t="s">
        <v>379</v>
      </c>
      <c r="C91" s="6" t="s">
        <v>392</v>
      </c>
      <c r="D91" s="6" t="s">
        <v>393</v>
      </c>
      <c r="E91" s="7" t="s">
        <v>394</v>
      </c>
      <c r="F91" s="8" t="str">
        <f>HYPERLINK("https://he-eppat.vercel.app/Backlog-HE-ORDER-Prototype.html","https://he-eppat.vercel.app/Backlog-HE-ORDER-Prototype.html")</f>
        <v>https://he-eppat.vercel.app/Backlog-HE-ORDER-Prototype.html</v>
      </c>
      <c r="G91" s="6" t="s">
        <v>395</v>
      </c>
    </row>
    <row r="92" spans="1:7" x14ac:dyDescent="0.25">
      <c r="A92" s="6" t="s">
        <v>396</v>
      </c>
      <c r="B92" s="6" t="s">
        <v>379</v>
      </c>
      <c r="C92" s="6" t="s">
        <v>293</v>
      </c>
      <c r="D92" s="6" t="s">
        <v>397</v>
      </c>
      <c r="E92" s="7" t="s">
        <v>398</v>
      </c>
      <c r="F92" s="8" t="str">
        <f>HYPERLINK("https://he-eppat.vercel.app/Backlog-IDDS-TN-SYSTEM-Prototype.html","https://he-eppat.vercel.app/Backlog-IDDS-TN-SYSTEM-Prototype.html")</f>
        <v>https://he-eppat.vercel.app/Backlog-IDDS-TN-SYSTEM-Prototype.html</v>
      </c>
      <c r="G92" s="6" t="s">
        <v>27</v>
      </c>
    </row>
    <row r="93" spans="1:7" x14ac:dyDescent="0.25">
      <c r="A93" s="6" t="s">
        <v>399</v>
      </c>
      <c r="B93" s="6" t="s">
        <v>379</v>
      </c>
      <c r="C93" s="6" t="s">
        <v>400</v>
      </c>
      <c r="D93" s="6" t="s">
        <v>401</v>
      </c>
      <c r="E93" s="7" t="s">
        <v>402</v>
      </c>
      <c r="F93" s="8" t="str">
        <f>HYPERLINK("https://he-eppat.vercel.app/Backlog-IDDS-TN-EPPAT-Prototype.html","https://he-eppat.vercel.app/Backlog-IDDS-TN-EPPAT-Prototype.html")</f>
        <v>https://he-eppat.vercel.app/Backlog-IDDS-TN-EPPAT-Prototype.html</v>
      </c>
      <c r="G93" s="6" t="s">
        <v>403</v>
      </c>
    </row>
    <row r="94" spans="1:7" x14ac:dyDescent="0.25">
      <c r="A94" s="5" t="s">
        <v>404</v>
      </c>
      <c r="B94" s="5"/>
      <c r="C94" s="5"/>
      <c r="D94" s="5"/>
      <c r="E94" s="5"/>
      <c r="F94" s="5"/>
      <c r="G94" s="5"/>
    </row>
    <row r="95" spans="1:7" x14ac:dyDescent="0.25">
      <c r="A95" s="6" t="s">
        <v>405</v>
      </c>
      <c r="B95" s="6" t="s">
        <v>406</v>
      </c>
      <c r="C95" s="6" t="s">
        <v>407</v>
      </c>
      <c r="D95" s="6" t="s">
        <v>408</v>
      </c>
      <c r="E95" s="7" t="s">
        <v>409</v>
      </c>
      <c r="F95" s="8" t="str">
        <f>HYPERLINK("https://he-eppat.vercel.app/Brand-Mode-EPPAT-IDDS.html","https://he-eppat.vercel.app/Brand-Mode-EPPAT-IDDS.html")</f>
        <v>https://he-eppat.vercel.app/Brand-Mode-EPPAT-IDDS.html</v>
      </c>
      <c r="G95" s="6" t="s">
        <v>22</v>
      </c>
    </row>
    <row r="96" spans="1:7" x14ac:dyDescent="0.25">
      <c r="A96" s="6" t="s">
        <v>410</v>
      </c>
      <c r="B96" s="6" t="s">
        <v>406</v>
      </c>
      <c r="C96" s="6" t="s">
        <v>411</v>
      </c>
      <c r="D96" s="6" t="s">
        <v>412</v>
      </c>
      <c r="E96" s="7" t="s">
        <v>413</v>
      </c>
      <c r="F96" s="8" t="str">
        <f>HYPERLINK("https://he-eppat.vercel.app/Backlog-HE-ORDER-Prototype.html","https://he-eppat.vercel.app/Backlog-HE-ORDER-Prototype.html")</f>
        <v>https://he-eppat.vercel.app/Backlog-HE-ORDER-Prototype.html</v>
      </c>
      <c r="G96" s="6" t="s">
        <v>414</v>
      </c>
    </row>
    <row r="97" spans="1:7" x14ac:dyDescent="0.25">
      <c r="A97" s="6" t="s">
        <v>415</v>
      </c>
      <c r="B97" s="6" t="s">
        <v>406</v>
      </c>
      <c r="C97" s="6" t="s">
        <v>416</v>
      </c>
      <c r="D97" s="6" t="s">
        <v>417</v>
      </c>
      <c r="E97" s="7" t="s">
        <v>418</v>
      </c>
      <c r="F97" s="8" t="str">
        <f>HYPERLINK("https://he-eppat.vercel.app/Backlog-HE-USER-Prototype.html","https://he-eppat.vercel.app/Backlog-HE-USER-Prototype.html")</f>
        <v>https://he-eppat.vercel.app/Backlog-HE-USER-Prototype.html</v>
      </c>
      <c r="G97" s="6" t="s">
        <v>419</v>
      </c>
    </row>
    <row r="98" spans="1:7" x14ac:dyDescent="0.25">
      <c r="A98" s="6" t="s">
        <v>420</v>
      </c>
      <c r="B98" s="6" t="s">
        <v>406</v>
      </c>
      <c r="C98" s="6" t="s">
        <v>421</v>
      </c>
      <c r="D98" s="6" t="s">
        <v>422</v>
      </c>
      <c r="E98" s="7" t="s">
        <v>423</v>
      </c>
      <c r="F98" s="8" t="str">
        <f>HYPERLINK("https://he-eppat.vercel.app/Backlog-HE-VERIF-Prototype.html","https://he-eppat.vercel.app/Backlog-HE-VERIF-Prototype.html")</f>
        <v>https://he-eppat.vercel.app/Backlog-HE-VERIF-Prototype.html</v>
      </c>
      <c r="G98" s="6" t="s">
        <v>424</v>
      </c>
    </row>
    <row r="99" spans="1:7" x14ac:dyDescent="0.25">
      <c r="A99" s="6" t="s">
        <v>425</v>
      </c>
      <c r="B99" s="6" t="s">
        <v>406</v>
      </c>
      <c r="C99" s="6" t="s">
        <v>426</v>
      </c>
      <c r="D99" s="6" t="s">
        <v>427</v>
      </c>
      <c r="E99" s="7" t="s">
        <v>428</v>
      </c>
      <c r="F99" s="8" t="str">
        <f>HYPERLINK("https://he-eppat.vercel.app/Backlog-HE-EAW-Prototype.html","https://he-eppat.vercel.app/Backlog-HE-EAW-Prototype.html")</f>
        <v>https://he-eppat.vercel.app/Backlog-HE-EAW-Prototype.html</v>
      </c>
      <c r="G99" s="6" t="s">
        <v>429</v>
      </c>
    </row>
    <row r="100" spans="1:7" x14ac:dyDescent="0.25">
      <c r="A100" s="6" t="s">
        <v>430</v>
      </c>
      <c r="B100" s="6" t="s">
        <v>406</v>
      </c>
      <c r="C100" s="6" t="s">
        <v>431</v>
      </c>
      <c r="D100" s="6" t="s">
        <v>432</v>
      </c>
      <c r="E100" s="7" t="s">
        <v>433</v>
      </c>
      <c r="F100" s="8" t="str">
        <f>HYPERLINK("https://he-eppat.vercel.app/Backlog-HE-EAWK-Prototype.html","https://he-eppat.vercel.app/Backlog-HE-EAWK-Prototype.html")</f>
        <v>https://he-eppat.vercel.app/Backlog-HE-EAWK-Prototype.html</v>
      </c>
      <c r="G100" s="6" t="s">
        <v>434</v>
      </c>
    </row>
    <row r="101" spans="1:7" x14ac:dyDescent="0.25">
      <c r="A101" s="6" t="s">
        <v>435</v>
      </c>
      <c r="B101" s="6" t="s">
        <v>406</v>
      </c>
      <c r="C101" s="6" t="s">
        <v>436</v>
      </c>
      <c r="D101" s="6" t="s">
        <v>437</v>
      </c>
      <c r="E101" s="7" t="s">
        <v>438</v>
      </c>
      <c r="F101" s="8" t="str">
        <f>HYPERLINK("https://he-eppat.vercel.app/Backlog-HE-TERA-Prototype.html","https://he-eppat.vercel.app/Backlog-HE-TERA-Prototype.html")</f>
        <v>https://he-eppat.vercel.app/Backlog-HE-TERA-Prototype.html</v>
      </c>
      <c r="G101" s="6" t="s">
        <v>439</v>
      </c>
    </row>
    <row r="102" spans="1:7" x14ac:dyDescent="0.25">
      <c r="A102" s="6" t="s">
        <v>440</v>
      </c>
      <c r="B102" s="6" t="s">
        <v>406</v>
      </c>
      <c r="C102" s="6" t="s">
        <v>441</v>
      </c>
      <c r="D102" s="6" t="s">
        <v>442</v>
      </c>
      <c r="E102" s="7" t="s">
        <v>443</v>
      </c>
      <c r="F102" s="8" t="str">
        <f>HYPERLINK("https://he-eppat.vercel.app/Backlog-HE-CA-Prototype.html","https://he-eppat.vercel.app/Backlog-HE-CA-Prototype.html")</f>
        <v>https://he-eppat.vercel.app/Backlog-HE-CA-Prototype.html</v>
      </c>
      <c r="G102" s="6" t="s">
        <v>444</v>
      </c>
    </row>
    <row r="103" spans="1:7" x14ac:dyDescent="0.25">
      <c r="A103" s="6" t="s">
        <v>445</v>
      </c>
      <c r="B103" s="6" t="s">
        <v>406</v>
      </c>
      <c r="C103" s="6" t="s">
        <v>446</v>
      </c>
      <c r="D103" s="6" t="s">
        <v>447</v>
      </c>
      <c r="E103" s="7" t="s">
        <v>448</v>
      </c>
      <c r="F103" s="8" t="str">
        <f>HYPERLINK("https://he-eppat.vercel.app/Backlog-HE-MINUTA-Prototype.html","https://he-eppat.vercel.app/Backlog-HE-MINUTA-Prototype.html")</f>
        <v>https://he-eppat.vercel.app/Backlog-HE-MINUTA-Prototype.html</v>
      </c>
      <c r="G103" s="6" t="s">
        <v>449</v>
      </c>
    </row>
    <row r="104" spans="1:7" x14ac:dyDescent="0.25">
      <c r="A104" s="6" t="s">
        <v>450</v>
      </c>
      <c r="B104" s="6" t="s">
        <v>406</v>
      </c>
      <c r="C104" s="6" t="s">
        <v>451</v>
      </c>
      <c r="D104" s="6" t="s">
        <v>452</v>
      </c>
      <c r="E104" s="7" t="s">
        <v>453</v>
      </c>
      <c r="F104" s="8" t="str">
        <f>HYPERLINK("https://he-eppat.vercel.app/Backlog-HE-ONBOARDING-Prototype.html","https://he-eppat.vercel.app/Backlog-HE-ONBOARDING-Prototype.html")</f>
        <v>https://he-eppat.vercel.app/Backlog-HE-ONBOARDING-Prototype.html</v>
      </c>
      <c r="G104" s="6" t="s">
        <v>454</v>
      </c>
    </row>
    <row r="105" spans="1:7" x14ac:dyDescent="0.25">
      <c r="A105" s="6" t="s">
        <v>455</v>
      </c>
      <c r="B105" s="6" t="s">
        <v>406</v>
      </c>
      <c r="C105" s="6" t="s">
        <v>456</v>
      </c>
      <c r="D105" s="6" t="s">
        <v>457</v>
      </c>
      <c r="E105" s="7" t="s">
        <v>458</v>
      </c>
      <c r="F105" s="8" t="str">
        <f>HYPERLINK("https://he-eppat.vercel.app/Backlog-IDDS-TN-MASUK-Prototype.html","https://he-eppat.vercel.app/Backlog-IDDS-TN-MASUK-Prototype.html")</f>
        <v>https://he-eppat.vercel.app/Backlog-IDDS-TN-MASUK-Prototype.html</v>
      </c>
      <c r="G105" s="6" t="s">
        <v>459</v>
      </c>
    </row>
    <row r="106" spans="1:7" x14ac:dyDescent="0.25">
      <c r="A106" s="6" t="s">
        <v>460</v>
      </c>
      <c r="B106" s="6" t="s">
        <v>406</v>
      </c>
      <c r="C106" s="6" t="s">
        <v>461</v>
      </c>
      <c r="D106" s="6" t="s">
        <v>462</v>
      </c>
      <c r="E106" s="7" t="s">
        <v>463</v>
      </c>
      <c r="F106" s="8" t="str">
        <f>HYPERLINK("https://he-eppat.vercel.app/Backlog-IDDS-TN-SYSTEM-Prototype.html","https://he-eppat.vercel.app/Backlog-IDDS-TN-SYSTEM-Prototype.html")</f>
        <v>https://he-eppat.vercel.app/Backlog-IDDS-TN-SYSTEM-Prototype.html</v>
      </c>
      <c r="G106" s="6" t="s">
        <v>464</v>
      </c>
    </row>
    <row r="107" spans="1:7" x14ac:dyDescent="0.25">
      <c r="A107" s="6" t="s">
        <v>465</v>
      </c>
      <c r="B107" s="6" t="s">
        <v>406</v>
      </c>
      <c r="C107" s="6" t="s">
        <v>466</v>
      </c>
      <c r="D107" s="6" t="s">
        <v>467</v>
      </c>
      <c r="E107" s="7" t="s">
        <v>468</v>
      </c>
      <c r="F107" s="8" t="str">
        <f>HYPERLINK("https://he-eppat.vercel.app/Backlog-IDDS-TN-CMS-Prototype.html","https://he-eppat.vercel.app/Backlog-IDDS-TN-CMS-Prototype.html")</f>
        <v>https://he-eppat.vercel.app/Backlog-IDDS-TN-CMS-Prototype.html</v>
      </c>
      <c r="G107" s="6" t="s">
        <v>469</v>
      </c>
    </row>
    <row r="108" spans="1:7" x14ac:dyDescent="0.25">
      <c r="A108" s="6" t="s">
        <v>470</v>
      </c>
      <c r="B108" s="6" t="s">
        <v>406</v>
      </c>
      <c r="C108" s="6" t="s">
        <v>471</v>
      </c>
      <c r="D108" s="6" t="s">
        <v>472</v>
      </c>
      <c r="E108" s="7" t="s">
        <v>473</v>
      </c>
      <c r="F108" s="8" t="str">
        <f>HYPERLINK("https://he-eppat.vercel.app/Backlog-IDDS-TN-EPPAT-Prototype.html","https://he-eppat.vercel.app/Backlog-IDDS-TN-EPPAT-Prototype.html")</f>
        <v>https://he-eppat.vercel.app/Backlog-IDDS-TN-EPPAT-Prototype.html</v>
      </c>
      <c r="G108" s="6" t="s">
        <v>474</v>
      </c>
    </row>
    <row r="109" spans="1:7" x14ac:dyDescent="0.25">
      <c r="A109" s="6" t="s">
        <v>475</v>
      </c>
      <c r="B109" s="6" t="s">
        <v>406</v>
      </c>
      <c r="C109" s="6" t="s">
        <v>476</v>
      </c>
      <c r="D109" s="6" t="s">
        <v>477</v>
      </c>
      <c r="E109" s="7" t="s">
        <v>478</v>
      </c>
      <c r="F109" s="8" t="str">
        <f>HYPERLINK("https://he-eppat.vercel.app/Backlog-IDDS-PL-MASUK-Prototype.html","https://he-eppat.vercel.app/Backlog-IDDS-PL-MASUK-Prototype.html")</f>
        <v>https://he-eppat.vercel.app/Backlog-IDDS-PL-MASUK-Prototype.html</v>
      </c>
      <c r="G109" s="6" t="s">
        <v>479</v>
      </c>
    </row>
    <row r="110" spans="1:7" x14ac:dyDescent="0.25">
      <c r="A110" s="6" t="s">
        <v>480</v>
      </c>
      <c r="B110" s="6" t="s">
        <v>406</v>
      </c>
      <c r="C110" s="6" t="s">
        <v>481</v>
      </c>
      <c r="D110" s="6" t="s">
        <v>482</v>
      </c>
      <c r="E110" s="7" t="s">
        <v>483</v>
      </c>
      <c r="F110" s="8" t="str">
        <f>HYPERLINK("https://he-eppat.vercel.app/Backlog-IDDS-PL-MONITORING-Prototype.html","https://he-eppat.vercel.app/Backlog-IDDS-PL-MONITORING-Prototype.html")</f>
        <v>https://he-eppat.vercel.app/Backlog-IDDS-PL-MONITORING-Prototype.html</v>
      </c>
      <c r="G110" s="6" t="s">
        <v>484</v>
      </c>
    </row>
    <row r="111" spans="1:7" x14ac:dyDescent="0.25">
      <c r="A111" s="6" t="s">
        <v>485</v>
      </c>
      <c r="B111" s="6" t="s">
        <v>406</v>
      </c>
      <c r="C111" s="6" t="s">
        <v>486</v>
      </c>
      <c r="D111" s="6" t="s">
        <v>487</v>
      </c>
      <c r="E111" s="7" t="s">
        <v>488</v>
      </c>
      <c r="F111" s="8" t="str">
        <f>HYPERLINK("https://he-eppat.vercel.app/Backlog-IDDS-PL-AKTA-Prototype.html","https://he-eppat.vercel.app/Backlog-IDDS-PL-AKTA-Prototype.html")</f>
        <v>https://he-eppat.vercel.app/Backlog-IDDS-PL-AKTA-Prototype.html</v>
      </c>
      <c r="G111" s="6" t="s">
        <v>489</v>
      </c>
    </row>
    <row r="112" spans="1:7" x14ac:dyDescent="0.25">
      <c r="A112" s="6" t="s">
        <v>490</v>
      </c>
      <c r="B112" s="6" t="s">
        <v>406</v>
      </c>
      <c r="C112" s="6" t="s">
        <v>491</v>
      </c>
      <c r="D112" s="6" t="s">
        <v>492</v>
      </c>
      <c r="E112" s="7" t="s">
        <v>493</v>
      </c>
      <c r="F112" s="8" t="str">
        <f>HYPERLINK("https://he-eppat.vercel.app/Backlog-IDDS-PL-SISTEM-Prototype.html","https://he-eppat.vercel.app/Backlog-IDDS-PL-SISTEM-Prototype.html")</f>
        <v>https://he-eppat.vercel.app/Backlog-IDDS-PL-SISTEM-Prototype.html</v>
      </c>
      <c r="G112" s="6" t="s">
        <v>494</v>
      </c>
    </row>
    <row r="113" spans="1:7" x14ac:dyDescent="0.25">
      <c r="A113" s="6" t="s">
        <v>495</v>
      </c>
      <c r="B113" s="6" t="s">
        <v>406</v>
      </c>
      <c r="C113" s="6" t="s">
        <v>496</v>
      </c>
      <c r="D113" s="6" t="s">
        <v>497</v>
      </c>
      <c r="E113" s="7" t="s">
        <v>498</v>
      </c>
      <c r="F113" s="8" t="str">
        <f>HYPERLINK("https://he-eppat.vercel.app/Backlog-IDDS-OB-MASUK-Prototype.html","https://he-eppat.vercel.app/Backlog-IDDS-OB-MASUK-Prototype.html")</f>
        <v>https://he-eppat.vercel.app/Backlog-IDDS-OB-MASUK-Prototype.html</v>
      </c>
      <c r="G113" s="6" t="s">
        <v>499</v>
      </c>
    </row>
    <row r="114" spans="1:7" x14ac:dyDescent="0.25">
      <c r="A114" s="6" t="s">
        <v>500</v>
      </c>
      <c r="B114" s="6" t="s">
        <v>406</v>
      </c>
      <c r="C114" s="6" t="s">
        <v>501</v>
      </c>
      <c r="D114" s="6" t="s">
        <v>502</v>
      </c>
      <c r="E114" s="7" t="s">
        <v>503</v>
      </c>
      <c r="F114" s="8" t="str">
        <f>HYPERLINK("https://he-eppat.vercel.app/Backlog-IDDS-OB-MONITOR-Prototype.html","https://he-eppat.vercel.app/Backlog-IDDS-OB-MONITOR-Prototype.html")</f>
        <v>https://he-eppat.vercel.app/Backlog-IDDS-OB-MONITOR-Prototype.html</v>
      </c>
      <c r="G114" s="6" t="s">
        <v>504</v>
      </c>
    </row>
    <row r="115" spans="1:7" x14ac:dyDescent="0.25">
      <c r="A115" s="6" t="s">
        <v>505</v>
      </c>
      <c r="B115" s="6" t="s">
        <v>406</v>
      </c>
      <c r="C115" s="6" t="s">
        <v>506</v>
      </c>
      <c r="D115" s="6" t="s">
        <v>507</v>
      </c>
      <c r="E115" s="7" t="s">
        <v>508</v>
      </c>
      <c r="F115" s="8" t="str">
        <f>HYPERLINK("https://he-eppat.vercel.app/Backlog-IDDS-OB-VERIF-Prototype.html","https://he-eppat.vercel.app/Backlog-IDDS-OB-VERIF-Prototype.html")</f>
        <v>https://he-eppat.vercel.app/Backlog-IDDS-OB-VERIF-Prototype.html</v>
      </c>
      <c r="G115" s="6" t="s">
        <v>509</v>
      </c>
    </row>
    <row r="116" spans="1:7" x14ac:dyDescent="0.25">
      <c r="A116" s="6" t="s">
        <v>510</v>
      </c>
      <c r="B116" s="6" t="s">
        <v>406</v>
      </c>
      <c r="C116" s="6" t="s">
        <v>511</v>
      </c>
      <c r="D116" s="6" t="s">
        <v>512</v>
      </c>
      <c r="E116" s="7" t="s">
        <v>513</v>
      </c>
      <c r="F116" s="8" t="str">
        <f>HYPERLINK("https://he-eppat.vercel.app/Backlog-IDDS-OB-PENGATURAN-Prototype.html","https://he-eppat.vercel.app/Backlog-IDDS-OB-PENGATURAN-Prototype.html")</f>
        <v>https://he-eppat.vercel.app/Backlog-IDDS-OB-PENGATURAN-Prototype.html</v>
      </c>
      <c r="G116" s="6" t="s">
        <v>514</v>
      </c>
    </row>
  </sheetData>
  <mergeCells count="11">
    <mergeCell ref="A1:G1"/>
    <mergeCell ref="A2:G2"/>
    <mergeCell ref="A3:G3"/>
    <mergeCell ref="A6:G6"/>
    <mergeCell ref="A17:G17"/>
    <mergeCell ref="A30:G30"/>
    <mergeCell ref="A54:G54"/>
    <mergeCell ref="A67:G67"/>
    <mergeCell ref="A76:G76"/>
    <mergeCell ref="A87:G87"/>
    <mergeCell ref="A94:G9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0"/>
  <sheetViews>
    <sheetView workbookViewId="0">
      <pane xSplit="2" ySplit="4" topLeftCell="C5" activePane="bottomRight" state="frozen"/>
      <selection pane="bottomRight"/>
    </sheetView>
  </sheetViews>
  <sheetFormatPr defaultRowHeight="15" outlineLevelRow="0" outlineLevelCol="0" x14ac:dyDescent="55"/>
  <cols>
    <col min="1" max="1" width="5" customWidth="1"/>
    <col min="2" max="3" width="13" customWidth="1"/>
    <col min="4" max="4" width="18" customWidth="1"/>
    <col min="5" max="5" width="30" customWidth="1"/>
    <col min="6" max="6" width="45" customWidth="1"/>
    <col min="7" max="7" width="55" customWidth="1"/>
    <col min="8" max="8" width="26" customWidth="1"/>
    <col min="9" max="9" width="11" customWidth="1"/>
    <col min="10" max="10" width="10" customWidth="1"/>
    <col min="11" max="11" width="24" customWidth="1"/>
    <col min="12" max="12" width="40" customWidth="1"/>
    <col min="13" max="13" width="45" customWidth="1"/>
    <col min="14" max="14" width="16" customWidth="1"/>
    <col min="15" max="15" width="32" customWidth="1"/>
    <col min="16" max="16" width="12" customWidth="1"/>
  </cols>
  <sheetData>
    <row r="1" ht="22" customHeight="1" spans="1:16" x14ac:dyDescent="0.25">
      <c r="A1" s="1" t="s">
        <v>515</v>
      </c>
      <c r="B1" s="1"/>
      <c r="C1" s="1"/>
      <c r="D1" s="1"/>
      <c r="E1" s="1"/>
      <c r="F1" s="1"/>
      <c r="G1" s="1"/>
      <c r="H1" s="1"/>
      <c r="I1" s="1"/>
      <c r="J1" s="1"/>
      <c r="K1" s="1"/>
      <c r="L1" s="1"/>
      <c r="M1" s="1"/>
      <c r="N1" s="1"/>
      <c r="O1" s="1"/>
      <c r="P1" s="1"/>
    </row>
    <row r="2" spans="1:16" x14ac:dyDescent="0.25">
      <c r="A2" s="2" t="s">
        <v>516</v>
      </c>
      <c r="B2" s="2"/>
      <c r="C2" s="2"/>
      <c r="D2" s="2"/>
      <c r="E2" s="2"/>
      <c r="F2" s="2"/>
      <c r="G2" s="2"/>
      <c r="H2" s="2"/>
      <c r="I2" s="2"/>
      <c r="J2" s="2"/>
      <c r="K2" s="2"/>
      <c r="L2" s="2"/>
      <c r="M2" s="2"/>
      <c r="N2" s="2"/>
      <c r="O2" s="2"/>
      <c r="P2" s="2"/>
    </row>
    <row r="3" ht="18" customHeight="1" spans="1:6" x14ac:dyDescent="0.25">
      <c r="A3" s="9" t="str">
        <f>HYPERLINK("https://he-eppat.vercel.app/index.html#he","Situs prototipe: https://he-eppat.vercel.app/  ·  Buka daftar prototipe kelompok ini")</f>
        <v>Situs prototipe: https://he-eppat.vercel.app/  ·  Buka daftar prototipe kelompok ini</v>
      </c>
      <c r="B3" s="9"/>
      <c r="C3" s="9"/>
      <c r="D3" s="9"/>
      <c r="E3" s="9"/>
      <c r="F3" s="9"/>
    </row>
    <row r="4" ht="30" customHeight="1" spans="1:16" x14ac:dyDescent="0.25">
      <c r="A4" s="4" t="s">
        <v>3</v>
      </c>
      <c r="B4" s="4" t="s">
        <v>517</v>
      </c>
      <c r="C4" s="4" t="s">
        <v>518</v>
      </c>
      <c r="D4" s="4" t="s">
        <v>519</v>
      </c>
      <c r="E4" s="4" t="s">
        <v>520</v>
      </c>
      <c r="F4" s="4" t="s">
        <v>521</v>
      </c>
      <c r="G4" s="4" t="s">
        <v>522</v>
      </c>
      <c r="H4" s="4" t="s">
        <v>523</v>
      </c>
      <c r="I4" s="4" t="s">
        <v>524</v>
      </c>
      <c r="J4" s="4" t="s">
        <v>525</v>
      </c>
      <c r="K4" s="4" t="s">
        <v>526</v>
      </c>
      <c r="L4" s="4" t="s">
        <v>8</v>
      </c>
      <c r="M4" s="4" t="s">
        <v>527</v>
      </c>
      <c r="N4" s="4" t="s">
        <v>528</v>
      </c>
      <c r="O4" s="4" t="s">
        <v>529</v>
      </c>
      <c r="P4" s="4" t="s">
        <v>530</v>
      </c>
    </row>
    <row r="5" spans="1:16" x14ac:dyDescent="0.25">
      <c r="A5" s="10">
        <v>1</v>
      </c>
      <c r="B5" s="11" t="s">
        <v>22</v>
      </c>
      <c r="C5" s="10" t="s">
        <v>531</v>
      </c>
      <c r="D5" s="10" t="s">
        <v>532</v>
      </c>
      <c r="E5" s="10" t="s">
        <v>533</v>
      </c>
      <c r="F5" s="10" t="s">
        <v>534</v>
      </c>
      <c r="G5" s="10" t="s">
        <v>535</v>
      </c>
      <c r="H5" s="10" t="s">
        <v>536</v>
      </c>
      <c r="I5" s="10" t="s">
        <v>537</v>
      </c>
      <c r="J5" s="10" t="s">
        <v>538</v>
      </c>
      <c r="K5" s="10" t="s">
        <v>539</v>
      </c>
      <c r="L5" s="10" t="str">
        <f>HYPERLINK("https://he-eppat.vercel.app/Brand-Mode-EPPAT-IDDS.html","https://he-eppat.vercel.app/Brand-Mode-EPPAT-IDDS.html")</f>
        <v>https://he-eppat.vercel.app/Brand-Mode-EPPAT-IDDS.html</v>
      </c>
      <c r="M5" s="10" t="s">
        <v>540</v>
      </c>
      <c r="N5" s="12" t="s">
        <v>541</v>
      </c>
      <c r="O5" s="12" t="s">
        <v>542</v>
      </c>
      <c r="P5" s="13">
        <v>46321</v>
      </c>
    </row>
    <row r="6" spans="1:16" x14ac:dyDescent="0.25">
      <c r="A6" s="14">
        <v>2</v>
      </c>
      <c r="B6" s="15" t="s">
        <v>91</v>
      </c>
      <c r="C6" s="14" t="s">
        <v>531</v>
      </c>
      <c r="D6" s="14" t="s">
        <v>532</v>
      </c>
      <c r="E6" s="14" t="s">
        <v>543</v>
      </c>
      <c r="F6" s="14" t="s">
        <v>544</v>
      </c>
      <c r="G6" s="14" t="s">
        <v>545</v>
      </c>
      <c r="H6" s="14" t="s">
        <v>546</v>
      </c>
      <c r="I6" s="14" t="s">
        <v>547</v>
      </c>
      <c r="J6" s="14" t="s">
        <v>538</v>
      </c>
      <c r="K6" s="14" t="s">
        <v>548</v>
      </c>
      <c r="L6" s="14" t="str">
        <f>HYPERLINK("https://he-eppat.vercel.app/Backlog-HE-TERA-Prototype.html","https://he-eppat.vercel.app/Backlog-HE-TERA-Prototype.html")</f>
        <v>https://he-eppat.vercel.app/Backlog-HE-TERA-Prototype.html</v>
      </c>
      <c r="M6" s="14" t="s">
        <v>549</v>
      </c>
      <c r="N6" s="12" t="s">
        <v>550</v>
      </c>
      <c r="O6" s="12" t="s">
        <v>551</v>
      </c>
      <c r="P6" s="16">
        <v>46321</v>
      </c>
    </row>
    <row r="7" spans="1:16" x14ac:dyDescent="0.25">
      <c r="A7" s="10">
        <v>3</v>
      </c>
      <c r="B7" s="11" t="s">
        <v>552</v>
      </c>
      <c r="C7" s="10" t="s">
        <v>553</v>
      </c>
      <c r="D7" s="10" t="s">
        <v>436</v>
      </c>
      <c r="E7" s="10" t="s">
        <v>554</v>
      </c>
      <c r="F7" s="10" t="s">
        <v>555</v>
      </c>
      <c r="G7" s="10" t="s">
        <v>556</v>
      </c>
      <c r="H7" s="10" t="s">
        <v>557</v>
      </c>
      <c r="I7" s="10" t="s">
        <v>558</v>
      </c>
      <c r="J7" s="10" t="s">
        <v>538</v>
      </c>
      <c r="K7" s="10" t="s">
        <v>559</v>
      </c>
      <c r="L7" s="10" t="str">
        <f>HYPERLINK("https://he-eppat.vercel.app/Backlog-HE-TERA-Prototype.html","https://he-eppat.vercel.app/Backlog-HE-TERA-Prototype.html")</f>
        <v>https://he-eppat.vercel.app/Backlog-HE-TERA-Prototype.html</v>
      </c>
      <c r="M7" s="10" t="s">
        <v>560</v>
      </c>
      <c r="N7" s="12" t="s">
        <v>541</v>
      </c>
      <c r="O7" s="12" t="s">
        <v>27</v>
      </c>
      <c r="P7" s="13">
        <v>46321</v>
      </c>
    </row>
    <row r="8" spans="1:16" x14ac:dyDescent="0.25">
      <c r="A8" s="14">
        <v>4</v>
      </c>
      <c r="B8" s="15" t="s">
        <v>561</v>
      </c>
      <c r="C8" s="14" t="s">
        <v>553</v>
      </c>
      <c r="D8" s="14" t="s">
        <v>436</v>
      </c>
      <c r="E8" s="14" t="s">
        <v>562</v>
      </c>
      <c r="F8" s="14" t="s">
        <v>563</v>
      </c>
      <c r="G8" s="14" t="s">
        <v>564</v>
      </c>
      <c r="H8" s="14" t="s">
        <v>565</v>
      </c>
      <c r="I8" s="14" t="s">
        <v>566</v>
      </c>
      <c r="J8" s="14" t="s">
        <v>567</v>
      </c>
      <c r="K8" s="14" t="s">
        <v>568</v>
      </c>
      <c r="L8" s="14" t="str">
        <f>HYPERLINK("https://he-eppat.vercel.app/Backlog-HE-TERA-Prototype.html","https://he-eppat.vercel.app/Backlog-HE-TERA-Prototype.html")</f>
        <v>https://he-eppat.vercel.app/Backlog-HE-TERA-Prototype.html</v>
      </c>
      <c r="M8" s="14" t="s">
        <v>569</v>
      </c>
      <c r="N8" s="12" t="s">
        <v>541</v>
      </c>
      <c r="O8" s="12" t="s">
        <v>27</v>
      </c>
      <c r="P8" s="16">
        <v>46318</v>
      </c>
    </row>
    <row r="9" spans="1:16" x14ac:dyDescent="0.25">
      <c r="A9" s="10">
        <v>5</v>
      </c>
      <c r="B9" s="11" t="s">
        <v>570</v>
      </c>
      <c r="C9" s="10" t="s">
        <v>553</v>
      </c>
      <c r="D9" s="10" t="s">
        <v>436</v>
      </c>
      <c r="E9" s="10" t="s">
        <v>571</v>
      </c>
      <c r="F9" s="10" t="s">
        <v>572</v>
      </c>
      <c r="G9" s="10" t="s">
        <v>573</v>
      </c>
      <c r="H9" s="10" t="s">
        <v>574</v>
      </c>
      <c r="I9" s="10" t="s">
        <v>575</v>
      </c>
      <c r="J9" s="10" t="s">
        <v>538</v>
      </c>
      <c r="K9" s="10" t="s">
        <v>576</v>
      </c>
      <c r="L9" s="10" t="str">
        <f>HYPERLINK("https://he-eppat.vercel.app/Backlog-HE-TERA-Prototype.html","https://he-eppat.vercel.app/Backlog-HE-TERA-Prototype.html")</f>
        <v>https://he-eppat.vercel.app/Backlog-HE-TERA-Prototype.html</v>
      </c>
      <c r="M9" s="10" t="s">
        <v>577</v>
      </c>
      <c r="N9" s="12" t="s">
        <v>541</v>
      </c>
      <c r="O9" s="12" t="s">
        <v>27</v>
      </c>
      <c r="P9" s="13">
        <v>46318</v>
      </c>
    </row>
    <row r="10" spans="1:16" x14ac:dyDescent="0.25">
      <c r="A10" s="14">
        <v>6</v>
      </c>
      <c r="B10" s="15" t="s">
        <v>578</v>
      </c>
      <c r="C10" s="14" t="s">
        <v>553</v>
      </c>
      <c r="D10" s="14" t="s">
        <v>436</v>
      </c>
      <c r="E10" s="14" t="s">
        <v>579</v>
      </c>
      <c r="F10" s="14" t="s">
        <v>580</v>
      </c>
      <c r="G10" s="14" t="s">
        <v>581</v>
      </c>
      <c r="H10" s="14" t="s">
        <v>582</v>
      </c>
      <c r="I10" s="14" t="s">
        <v>558</v>
      </c>
      <c r="J10" s="14" t="s">
        <v>538</v>
      </c>
      <c r="K10" s="14" t="s">
        <v>576</v>
      </c>
      <c r="L10" s="14" t="str">
        <f>HYPERLINK("https://he-eppat.vercel.app/Backlog-HE-TERA-Prototype.html","https://he-eppat.vercel.app/Backlog-HE-TERA-Prototype.html")</f>
        <v>https://he-eppat.vercel.app/Backlog-HE-TERA-Prototype.html</v>
      </c>
      <c r="M10" s="14" t="s">
        <v>583</v>
      </c>
      <c r="N10" s="12" t="s">
        <v>541</v>
      </c>
      <c r="O10" s="12" t="s">
        <v>27</v>
      </c>
      <c r="P10" s="16">
        <v>46318</v>
      </c>
    </row>
    <row r="11" spans="1:16" x14ac:dyDescent="0.25">
      <c r="A11" s="10">
        <v>7</v>
      </c>
      <c r="B11" s="11" t="s">
        <v>584</v>
      </c>
      <c r="C11" s="10" t="s">
        <v>553</v>
      </c>
      <c r="D11" s="10" t="s">
        <v>436</v>
      </c>
      <c r="E11" s="10" t="s">
        <v>585</v>
      </c>
      <c r="F11" s="10" t="s">
        <v>586</v>
      </c>
      <c r="G11" s="10" t="s">
        <v>587</v>
      </c>
      <c r="H11" s="10" t="s">
        <v>588</v>
      </c>
      <c r="I11" s="10" t="s">
        <v>589</v>
      </c>
      <c r="J11" s="10" t="s">
        <v>538</v>
      </c>
      <c r="K11" s="10" t="s">
        <v>576</v>
      </c>
      <c r="L11" s="10" t="str">
        <f>HYPERLINK("https://he-eppat.vercel.app/Backlog-HE-TERA-Prototype.html","https://he-eppat.vercel.app/Backlog-HE-TERA-Prototype.html")</f>
        <v>https://he-eppat.vercel.app/Backlog-HE-TERA-Prototype.html</v>
      </c>
      <c r="M11" s="10" t="s">
        <v>590</v>
      </c>
      <c r="N11" s="12" t="s">
        <v>541</v>
      </c>
      <c r="O11" s="12" t="s">
        <v>27</v>
      </c>
      <c r="P11" s="13">
        <v>46318</v>
      </c>
    </row>
    <row r="12" spans="1:16" x14ac:dyDescent="0.25">
      <c r="A12" s="14">
        <v>8</v>
      </c>
      <c r="B12" s="15" t="s">
        <v>591</v>
      </c>
      <c r="C12" s="14" t="s">
        <v>553</v>
      </c>
      <c r="D12" s="14" t="s">
        <v>436</v>
      </c>
      <c r="E12" s="14" t="s">
        <v>592</v>
      </c>
      <c r="F12" s="14" t="s">
        <v>593</v>
      </c>
      <c r="G12" s="14" t="s">
        <v>594</v>
      </c>
      <c r="H12" s="14" t="s">
        <v>595</v>
      </c>
      <c r="I12" s="14" t="s">
        <v>596</v>
      </c>
      <c r="J12" s="14" t="s">
        <v>538</v>
      </c>
      <c r="K12" s="14" t="s">
        <v>576</v>
      </c>
      <c r="L12" s="14" t="str">
        <f>HYPERLINK("https://he-eppat.vercel.app/Backlog-HE-TERA-Prototype.html","https://he-eppat.vercel.app/Backlog-HE-TERA-Prototype.html")</f>
        <v>https://he-eppat.vercel.app/Backlog-HE-TERA-Prototype.html</v>
      </c>
      <c r="M12" s="14" t="s">
        <v>597</v>
      </c>
      <c r="N12" s="12" t="s">
        <v>541</v>
      </c>
      <c r="O12" s="12" t="s">
        <v>27</v>
      </c>
      <c r="P12" s="16">
        <v>46318</v>
      </c>
    </row>
    <row r="13" spans="1:16" x14ac:dyDescent="0.25">
      <c r="A13" s="10">
        <v>9</v>
      </c>
      <c r="B13" s="11" t="s">
        <v>598</v>
      </c>
      <c r="C13" s="10" t="s">
        <v>553</v>
      </c>
      <c r="D13" s="10" t="s">
        <v>436</v>
      </c>
      <c r="E13" s="10" t="s">
        <v>599</v>
      </c>
      <c r="F13" s="10" t="s">
        <v>600</v>
      </c>
      <c r="G13" s="10" t="s">
        <v>601</v>
      </c>
      <c r="H13" s="10" t="s">
        <v>602</v>
      </c>
      <c r="I13" s="10" t="s">
        <v>596</v>
      </c>
      <c r="J13" s="10" t="s">
        <v>567</v>
      </c>
      <c r="K13" s="10" t="s">
        <v>576</v>
      </c>
      <c r="L13" s="10" t="str">
        <f>HYPERLINK("https://he-eppat.vercel.app/Backlog-HE-TERA-Prototype.html","https://he-eppat.vercel.app/Backlog-HE-TERA-Prototype.html")</f>
        <v>https://he-eppat.vercel.app/Backlog-HE-TERA-Prototype.html</v>
      </c>
      <c r="M13" s="10" t="s">
        <v>603</v>
      </c>
      <c r="N13" s="12" t="s">
        <v>550</v>
      </c>
      <c r="O13" s="12" t="s">
        <v>604</v>
      </c>
      <c r="P13" s="13">
        <v>46318</v>
      </c>
    </row>
    <row r="14" spans="1:16" x14ac:dyDescent="0.25">
      <c r="A14" s="14">
        <v>10</v>
      </c>
      <c r="B14" s="15" t="s">
        <v>605</v>
      </c>
      <c r="C14" s="14" t="s">
        <v>553</v>
      </c>
      <c r="D14" s="14" t="s">
        <v>411</v>
      </c>
      <c r="E14" s="14" t="s">
        <v>606</v>
      </c>
      <c r="F14" s="14" t="s">
        <v>607</v>
      </c>
      <c r="G14" s="14" t="s">
        <v>608</v>
      </c>
      <c r="H14" s="14" t="s">
        <v>609</v>
      </c>
      <c r="I14" s="14" t="s">
        <v>610</v>
      </c>
      <c r="J14" s="14" t="s">
        <v>538</v>
      </c>
      <c r="K14" s="14" t="s">
        <v>611</v>
      </c>
      <c r="L14" s="14" t="str">
        <f>HYPERLINK("https://he-eppat.vercel.app/Backlog-HE-ORDER-Prototype.html","https://he-eppat.vercel.app/Backlog-HE-ORDER-Prototype.html")</f>
        <v>https://he-eppat.vercel.app/Backlog-HE-ORDER-Prototype.html</v>
      </c>
      <c r="M14" s="14" t="s">
        <v>612</v>
      </c>
      <c r="N14" s="12" t="s">
        <v>541</v>
      </c>
      <c r="O14" s="12" t="s">
        <v>613</v>
      </c>
      <c r="P14" s="16">
        <v>46321</v>
      </c>
    </row>
    <row r="15" spans="1:16" x14ac:dyDescent="0.25">
      <c r="A15" s="10">
        <v>11</v>
      </c>
      <c r="B15" s="11" t="s">
        <v>614</v>
      </c>
      <c r="C15" s="10" t="s">
        <v>553</v>
      </c>
      <c r="D15" s="10" t="s">
        <v>411</v>
      </c>
      <c r="E15" s="10" t="s">
        <v>615</v>
      </c>
      <c r="F15" s="10" t="s">
        <v>616</v>
      </c>
      <c r="G15" s="10" t="s">
        <v>617</v>
      </c>
      <c r="H15" s="10" t="s">
        <v>618</v>
      </c>
      <c r="I15" s="10" t="s">
        <v>619</v>
      </c>
      <c r="J15" s="10" t="s">
        <v>538</v>
      </c>
      <c r="K15" s="10" t="s">
        <v>620</v>
      </c>
      <c r="L15" s="10" t="str">
        <f>HYPERLINK("https://he-eppat.vercel.app/Backlog-HE-ORDER-Prototype.html","https://he-eppat.vercel.app/Backlog-HE-ORDER-Prototype.html")</f>
        <v>https://he-eppat.vercel.app/Backlog-HE-ORDER-Prototype.html</v>
      </c>
      <c r="M15" s="10" t="s">
        <v>621</v>
      </c>
      <c r="N15" s="12" t="s">
        <v>541</v>
      </c>
      <c r="O15" s="12" t="s">
        <v>27</v>
      </c>
      <c r="P15" s="13">
        <v>46321</v>
      </c>
    </row>
    <row r="16" spans="1:16" x14ac:dyDescent="0.25">
      <c r="A16" s="14">
        <v>12</v>
      </c>
      <c r="B16" s="15" t="s">
        <v>622</v>
      </c>
      <c r="C16" s="14" t="s">
        <v>553</v>
      </c>
      <c r="D16" s="14" t="s">
        <v>411</v>
      </c>
      <c r="E16" s="14" t="s">
        <v>623</v>
      </c>
      <c r="F16" s="14" t="s">
        <v>624</v>
      </c>
      <c r="G16" s="14" t="s">
        <v>625</v>
      </c>
      <c r="H16" s="14" t="s">
        <v>626</v>
      </c>
      <c r="I16" s="14" t="s">
        <v>610</v>
      </c>
      <c r="J16" s="14" t="s">
        <v>567</v>
      </c>
      <c r="K16" s="14" t="s">
        <v>627</v>
      </c>
      <c r="L16" s="14" t="str">
        <f>HYPERLINK("https://he-eppat.vercel.app/Backlog-HE-ORDER-Prototype.html","https://he-eppat.vercel.app/Backlog-HE-ORDER-Prototype.html")</f>
        <v>https://he-eppat.vercel.app/Backlog-HE-ORDER-Prototype.html</v>
      </c>
      <c r="M16" s="14" t="s">
        <v>628</v>
      </c>
      <c r="N16" s="12" t="s">
        <v>541</v>
      </c>
      <c r="O16" s="12" t="s">
        <v>629</v>
      </c>
      <c r="P16" s="16">
        <v>46321</v>
      </c>
    </row>
    <row r="17" spans="1:16" x14ac:dyDescent="0.25">
      <c r="A17" s="10">
        <v>13</v>
      </c>
      <c r="B17" s="11" t="s">
        <v>322</v>
      </c>
      <c r="C17" s="10" t="s">
        <v>553</v>
      </c>
      <c r="D17" s="10" t="s">
        <v>411</v>
      </c>
      <c r="E17" s="10" t="s">
        <v>630</v>
      </c>
      <c r="F17" s="10" t="s">
        <v>631</v>
      </c>
      <c r="G17" s="10" t="s">
        <v>632</v>
      </c>
      <c r="H17" s="10" t="s">
        <v>633</v>
      </c>
      <c r="I17" s="10" t="s">
        <v>619</v>
      </c>
      <c r="J17" s="10" t="s">
        <v>567</v>
      </c>
      <c r="K17" s="10" t="s">
        <v>634</v>
      </c>
      <c r="L17" s="10" t="str">
        <f>HYPERLINK("https://he-eppat.vercel.app/Backlog-HE-ORDER-Prototype.html","https://he-eppat.vercel.app/Backlog-HE-ORDER-Prototype.html")</f>
        <v>https://he-eppat.vercel.app/Backlog-HE-ORDER-Prototype.html</v>
      </c>
      <c r="M17" s="10" t="s">
        <v>635</v>
      </c>
      <c r="N17" s="12" t="s">
        <v>541</v>
      </c>
      <c r="O17" s="12" t="s">
        <v>27</v>
      </c>
      <c r="P17" s="13">
        <v>46321</v>
      </c>
    </row>
    <row r="18" spans="1:16" x14ac:dyDescent="0.25">
      <c r="A18" s="14">
        <v>14</v>
      </c>
      <c r="B18" s="15" t="s">
        <v>121</v>
      </c>
      <c r="C18" s="14" t="s">
        <v>553</v>
      </c>
      <c r="D18" s="14" t="s">
        <v>411</v>
      </c>
      <c r="E18" s="14" t="s">
        <v>636</v>
      </c>
      <c r="F18" s="14" t="s">
        <v>637</v>
      </c>
      <c r="G18" s="14" t="s">
        <v>638</v>
      </c>
      <c r="H18" s="14" t="s">
        <v>639</v>
      </c>
      <c r="I18" s="14" t="s">
        <v>640</v>
      </c>
      <c r="J18" s="14" t="s">
        <v>641</v>
      </c>
      <c r="K18" s="14" t="s">
        <v>634</v>
      </c>
      <c r="L18" s="14" t="str">
        <f>HYPERLINK("https://he-eppat.vercel.app/Backlog-HE-ORDER-Prototype.html","https://he-eppat.vercel.app/Backlog-HE-ORDER-Prototype.html")</f>
        <v>https://he-eppat.vercel.app/Backlog-HE-ORDER-Prototype.html</v>
      </c>
      <c r="M18" s="14" t="s">
        <v>642</v>
      </c>
      <c r="N18" s="12" t="s">
        <v>541</v>
      </c>
      <c r="O18" s="12" t="s">
        <v>27</v>
      </c>
      <c r="P18" s="16">
        <v>46321</v>
      </c>
    </row>
    <row r="19" spans="1:16" x14ac:dyDescent="0.25">
      <c r="A19" s="10">
        <v>15</v>
      </c>
      <c r="B19" s="11" t="s">
        <v>643</v>
      </c>
      <c r="C19" s="10" t="s">
        <v>553</v>
      </c>
      <c r="D19" s="10" t="s">
        <v>411</v>
      </c>
      <c r="E19" s="10" t="s">
        <v>644</v>
      </c>
      <c r="F19" s="10" t="s">
        <v>645</v>
      </c>
      <c r="G19" s="10" t="s">
        <v>646</v>
      </c>
      <c r="H19" s="10" t="s">
        <v>647</v>
      </c>
      <c r="I19" s="10" t="s">
        <v>648</v>
      </c>
      <c r="J19" s="10" t="s">
        <v>538</v>
      </c>
      <c r="K19" s="10" t="s">
        <v>611</v>
      </c>
      <c r="L19" s="10" t="str">
        <f>HYPERLINK("https://he-eppat.vercel.app/Backlog-HE-ORDER-Prototype.html","https://he-eppat.vercel.app/Backlog-HE-ORDER-Prototype.html")</f>
        <v>https://he-eppat.vercel.app/Backlog-HE-ORDER-Prototype.html</v>
      </c>
      <c r="M19" s="10" t="s">
        <v>649</v>
      </c>
      <c r="N19" s="12" t="s">
        <v>541</v>
      </c>
      <c r="O19" s="12" t="s">
        <v>650</v>
      </c>
      <c r="P19" s="13">
        <v>46321</v>
      </c>
    </row>
    <row r="20" spans="1:16" x14ac:dyDescent="0.25">
      <c r="A20" s="14">
        <v>16</v>
      </c>
      <c r="B20" s="15" t="s">
        <v>135</v>
      </c>
      <c r="C20" s="14" t="s">
        <v>553</v>
      </c>
      <c r="D20" s="14" t="s">
        <v>411</v>
      </c>
      <c r="E20" s="14" t="s">
        <v>651</v>
      </c>
      <c r="F20" s="14" t="s">
        <v>652</v>
      </c>
      <c r="G20" s="14" t="s">
        <v>653</v>
      </c>
      <c r="H20" s="14" t="s">
        <v>654</v>
      </c>
      <c r="I20" s="14" t="s">
        <v>648</v>
      </c>
      <c r="J20" s="14" t="s">
        <v>567</v>
      </c>
      <c r="K20" s="14" t="s">
        <v>655</v>
      </c>
      <c r="L20" s="14" t="str">
        <f>HYPERLINK("https://he-eppat.vercel.app/Backlog-HE-ORDER-Prototype.html","https://he-eppat.vercel.app/Backlog-HE-ORDER-Prototype.html")</f>
        <v>https://he-eppat.vercel.app/Backlog-HE-ORDER-Prototype.html</v>
      </c>
      <c r="M20" s="14" t="s">
        <v>656</v>
      </c>
      <c r="N20" s="12" t="s">
        <v>541</v>
      </c>
      <c r="O20" s="12" t="s">
        <v>27</v>
      </c>
      <c r="P20" s="16">
        <v>46321</v>
      </c>
    </row>
    <row r="21" spans="1:16" x14ac:dyDescent="0.25">
      <c r="A21" s="10">
        <v>17</v>
      </c>
      <c r="B21" s="11" t="s">
        <v>657</v>
      </c>
      <c r="C21" s="10" t="s">
        <v>553</v>
      </c>
      <c r="D21" s="10" t="s">
        <v>411</v>
      </c>
      <c r="E21" s="10" t="s">
        <v>658</v>
      </c>
      <c r="F21" s="10" t="s">
        <v>659</v>
      </c>
      <c r="G21" s="10" t="s">
        <v>660</v>
      </c>
      <c r="H21" s="10" t="s">
        <v>661</v>
      </c>
      <c r="I21" s="10" t="s">
        <v>648</v>
      </c>
      <c r="J21" s="10" t="s">
        <v>641</v>
      </c>
      <c r="K21" s="10" t="s">
        <v>662</v>
      </c>
      <c r="L21" s="10" t="str">
        <f>HYPERLINK("https://he-eppat.vercel.app/Backlog-HE-ORDER-Prototype.html","https://he-eppat.vercel.app/Backlog-HE-ORDER-Prototype.html")</f>
        <v>https://he-eppat.vercel.app/Backlog-HE-ORDER-Prototype.html</v>
      </c>
      <c r="M21" s="10" t="s">
        <v>663</v>
      </c>
      <c r="N21" s="12" t="s">
        <v>541</v>
      </c>
      <c r="O21" s="12" t="s">
        <v>27</v>
      </c>
      <c r="P21" s="13">
        <v>46321</v>
      </c>
    </row>
    <row r="22" spans="1:16" x14ac:dyDescent="0.25">
      <c r="A22" s="14">
        <v>18</v>
      </c>
      <c r="B22" s="15" t="s">
        <v>664</v>
      </c>
      <c r="C22" s="14" t="s">
        <v>553</v>
      </c>
      <c r="D22" s="14" t="s">
        <v>665</v>
      </c>
      <c r="E22" s="14" t="s">
        <v>666</v>
      </c>
      <c r="F22" s="14" t="s">
        <v>667</v>
      </c>
      <c r="G22" s="14" t="s">
        <v>668</v>
      </c>
      <c r="H22" s="14" t="s">
        <v>669</v>
      </c>
      <c r="I22" s="14" t="s">
        <v>670</v>
      </c>
      <c r="J22" s="14" t="s">
        <v>567</v>
      </c>
      <c r="K22" s="14" t="s">
        <v>671</v>
      </c>
      <c r="L22" s="14" t="str">
        <f>HYPERLINK("https://he-eppat.vercel.app/Backlog-HE-MINUTA-Prototype.html","https://he-eppat.vercel.app/Backlog-HE-MINUTA-Prototype.html")</f>
        <v>https://he-eppat.vercel.app/Backlog-HE-MINUTA-Prototype.html</v>
      </c>
      <c r="M22" s="14" t="s">
        <v>672</v>
      </c>
      <c r="N22" s="12" t="s">
        <v>541</v>
      </c>
      <c r="O22" s="12" t="s">
        <v>27</v>
      </c>
      <c r="P22" s="16">
        <v>46321</v>
      </c>
    </row>
    <row r="23" spans="1:16" x14ac:dyDescent="0.25">
      <c r="A23" s="10">
        <v>19</v>
      </c>
      <c r="B23" s="11" t="s">
        <v>673</v>
      </c>
      <c r="C23" s="10" t="s">
        <v>553</v>
      </c>
      <c r="D23" s="10" t="s">
        <v>665</v>
      </c>
      <c r="E23" s="10" t="s">
        <v>674</v>
      </c>
      <c r="F23" s="10" t="s">
        <v>675</v>
      </c>
      <c r="G23" s="10" t="s">
        <v>676</v>
      </c>
      <c r="H23" s="10" t="s">
        <v>677</v>
      </c>
      <c r="I23" s="10" t="s">
        <v>670</v>
      </c>
      <c r="J23" s="10" t="s">
        <v>567</v>
      </c>
      <c r="K23" s="10" t="s">
        <v>678</v>
      </c>
      <c r="L23" s="10" t="str">
        <f>HYPERLINK("https://he-eppat.vercel.app/Backlog-HE-MINUTA-Prototype.html","https://he-eppat.vercel.app/Backlog-HE-MINUTA-Prototype.html")</f>
        <v>https://he-eppat.vercel.app/Backlog-HE-MINUTA-Prototype.html</v>
      </c>
      <c r="M23" s="10" t="s">
        <v>679</v>
      </c>
      <c r="N23" s="12" t="s">
        <v>541</v>
      </c>
      <c r="O23" s="12" t="s">
        <v>27</v>
      </c>
      <c r="P23" s="13">
        <v>46321</v>
      </c>
    </row>
    <row r="24" spans="1:16" x14ac:dyDescent="0.25">
      <c r="A24" s="14">
        <v>20</v>
      </c>
      <c r="B24" s="15" t="s">
        <v>680</v>
      </c>
      <c r="C24" s="14" t="s">
        <v>553</v>
      </c>
      <c r="D24" s="14" t="s">
        <v>665</v>
      </c>
      <c r="E24" s="14" t="s">
        <v>681</v>
      </c>
      <c r="F24" s="14" t="s">
        <v>682</v>
      </c>
      <c r="G24" s="14" t="s">
        <v>683</v>
      </c>
      <c r="H24" s="14" t="s">
        <v>684</v>
      </c>
      <c r="I24" s="14" t="s">
        <v>670</v>
      </c>
      <c r="J24" s="14" t="s">
        <v>538</v>
      </c>
      <c r="K24" s="14" t="s">
        <v>685</v>
      </c>
      <c r="L24" s="14" t="str">
        <f>HYPERLINK("https://he-eppat.vercel.app/Backlog-HE-MINUTA-Prototype.html","https://he-eppat.vercel.app/Backlog-HE-MINUTA-Prototype.html")</f>
        <v>https://he-eppat.vercel.app/Backlog-HE-MINUTA-Prototype.html</v>
      </c>
      <c r="M24" s="14" t="s">
        <v>686</v>
      </c>
      <c r="N24" s="12" t="s">
        <v>541</v>
      </c>
      <c r="O24" s="12" t="s">
        <v>27</v>
      </c>
      <c r="P24" s="16">
        <v>46321</v>
      </c>
    </row>
    <row r="25" spans="1:16" x14ac:dyDescent="0.25">
      <c r="A25" s="10">
        <v>21</v>
      </c>
      <c r="B25" s="11" t="s">
        <v>687</v>
      </c>
      <c r="C25" s="10" t="s">
        <v>553</v>
      </c>
      <c r="D25" s="10" t="s">
        <v>665</v>
      </c>
      <c r="E25" s="10" t="s">
        <v>688</v>
      </c>
      <c r="F25" s="10" t="s">
        <v>689</v>
      </c>
      <c r="G25" s="10" t="s">
        <v>690</v>
      </c>
      <c r="H25" s="10" t="s">
        <v>691</v>
      </c>
      <c r="I25" s="10" t="s">
        <v>692</v>
      </c>
      <c r="J25" s="10" t="s">
        <v>538</v>
      </c>
      <c r="K25" s="10" t="s">
        <v>693</v>
      </c>
      <c r="L25" s="10" t="str">
        <f>HYPERLINK("https://he-eppat.vercel.app/Backlog-HE-MINUTA-Prototype.html","https://he-eppat.vercel.app/Backlog-HE-MINUTA-Prototype.html")</f>
        <v>https://he-eppat.vercel.app/Backlog-HE-MINUTA-Prototype.html</v>
      </c>
      <c r="M25" s="10" t="s">
        <v>694</v>
      </c>
      <c r="N25" s="12" t="s">
        <v>541</v>
      </c>
      <c r="O25" s="12" t="s">
        <v>27</v>
      </c>
      <c r="P25" s="13">
        <v>46321</v>
      </c>
    </row>
    <row r="26" spans="1:16" x14ac:dyDescent="0.25">
      <c r="A26" s="14">
        <v>22</v>
      </c>
      <c r="B26" s="15" t="s">
        <v>695</v>
      </c>
      <c r="C26" s="14" t="s">
        <v>553</v>
      </c>
      <c r="D26" s="14" t="s">
        <v>665</v>
      </c>
      <c r="E26" s="14" t="s">
        <v>696</v>
      </c>
      <c r="F26" s="14" t="s">
        <v>697</v>
      </c>
      <c r="G26" s="14" t="s">
        <v>698</v>
      </c>
      <c r="H26" s="14" t="s">
        <v>699</v>
      </c>
      <c r="I26" s="14" t="s">
        <v>692</v>
      </c>
      <c r="J26" s="14" t="s">
        <v>538</v>
      </c>
      <c r="K26" s="14" t="s">
        <v>700</v>
      </c>
      <c r="L26" s="14" t="str">
        <f>HYPERLINK("https://he-eppat.vercel.app/Backlog-HE-MINUTA-Prototype.html","https://he-eppat.vercel.app/Backlog-HE-MINUTA-Prototype.html")</f>
        <v>https://he-eppat.vercel.app/Backlog-HE-MINUTA-Prototype.html</v>
      </c>
      <c r="M26" s="14" t="s">
        <v>701</v>
      </c>
      <c r="N26" s="12" t="s">
        <v>541</v>
      </c>
      <c r="O26" s="12" t="s">
        <v>702</v>
      </c>
      <c r="P26" s="16">
        <v>46321</v>
      </c>
    </row>
    <row r="27" spans="1:16" x14ac:dyDescent="0.25">
      <c r="A27" s="10">
        <v>23</v>
      </c>
      <c r="B27" s="11" t="s">
        <v>703</v>
      </c>
      <c r="C27" s="10" t="s">
        <v>553</v>
      </c>
      <c r="D27" s="10" t="s">
        <v>665</v>
      </c>
      <c r="E27" s="10" t="s">
        <v>704</v>
      </c>
      <c r="F27" s="10" t="s">
        <v>705</v>
      </c>
      <c r="G27" s="10" t="s">
        <v>706</v>
      </c>
      <c r="H27" s="10" t="s">
        <v>707</v>
      </c>
      <c r="I27" s="10" t="s">
        <v>708</v>
      </c>
      <c r="J27" s="10" t="s">
        <v>567</v>
      </c>
      <c r="K27" s="10" t="s">
        <v>709</v>
      </c>
      <c r="L27" s="10" t="str">
        <f>HYPERLINK("https://he-eppat.vercel.app/Backlog-HE-MINUTA-Prototype.html","https://he-eppat.vercel.app/Backlog-HE-MINUTA-Prototype.html")</f>
        <v>https://he-eppat.vercel.app/Backlog-HE-MINUTA-Prototype.html</v>
      </c>
      <c r="M27" s="10" t="s">
        <v>710</v>
      </c>
      <c r="N27" s="12" t="s">
        <v>541</v>
      </c>
      <c r="O27" s="12" t="s">
        <v>711</v>
      </c>
      <c r="P27" s="13">
        <v>46321</v>
      </c>
    </row>
    <row r="28" spans="1:16" x14ac:dyDescent="0.25">
      <c r="A28" s="14">
        <v>24</v>
      </c>
      <c r="B28" s="15" t="s">
        <v>712</v>
      </c>
      <c r="C28" s="14" t="s">
        <v>553</v>
      </c>
      <c r="D28" s="14" t="s">
        <v>665</v>
      </c>
      <c r="E28" s="14" t="s">
        <v>713</v>
      </c>
      <c r="F28" s="14" t="s">
        <v>714</v>
      </c>
      <c r="G28" s="14" t="s">
        <v>715</v>
      </c>
      <c r="H28" s="14" t="s">
        <v>716</v>
      </c>
      <c r="I28" s="14" t="s">
        <v>717</v>
      </c>
      <c r="J28" s="14" t="s">
        <v>567</v>
      </c>
      <c r="K28" s="14" t="s">
        <v>718</v>
      </c>
      <c r="L28" s="14" t="str">
        <f>HYPERLINK("https://he-eppat.vercel.app/Backlog-HE-MINUTA-V2-Prototype.html","https://he-eppat.vercel.app/Backlog-HE-MINUTA-V2-Prototype.html")</f>
        <v>https://he-eppat.vercel.app/Backlog-HE-MINUTA-V2-Prototype.html</v>
      </c>
      <c r="M28" s="14" t="s">
        <v>719</v>
      </c>
      <c r="N28" s="12" t="s">
        <v>541</v>
      </c>
      <c r="O28" s="12" t="s">
        <v>720</v>
      </c>
      <c r="P28" s="16">
        <v>46322</v>
      </c>
    </row>
    <row r="29" spans="1:16" x14ac:dyDescent="0.25">
      <c r="A29" s="10">
        <v>25</v>
      </c>
      <c r="B29" s="11" t="s">
        <v>721</v>
      </c>
      <c r="C29" s="10" t="s">
        <v>553</v>
      </c>
      <c r="D29" s="10" t="s">
        <v>722</v>
      </c>
      <c r="E29" s="10" t="s">
        <v>723</v>
      </c>
      <c r="F29" s="10" t="s">
        <v>724</v>
      </c>
      <c r="G29" s="10" t="s">
        <v>725</v>
      </c>
      <c r="H29" s="10" t="s">
        <v>726</v>
      </c>
      <c r="I29" s="10" t="s">
        <v>727</v>
      </c>
      <c r="J29" s="10" t="s">
        <v>538</v>
      </c>
      <c r="K29" s="10" t="s">
        <v>728</v>
      </c>
      <c r="L29" s="10" t="str">
        <f>HYPERLINK("https://he-eppat.vercel.app/Backlog-HE-EAW-Prototype.html","https://he-eppat.vercel.app/Backlog-HE-EAW-Prototype.html")</f>
        <v>https://he-eppat.vercel.app/Backlog-HE-EAW-Prototype.html</v>
      </c>
      <c r="M29" s="10" t="s">
        <v>729</v>
      </c>
      <c r="N29" s="12" t="s">
        <v>541</v>
      </c>
      <c r="O29" s="12" t="s">
        <v>27</v>
      </c>
      <c r="P29" s="13">
        <v>46321</v>
      </c>
    </row>
    <row r="30" spans="1:16" x14ac:dyDescent="0.25">
      <c r="A30" s="14">
        <v>26</v>
      </c>
      <c r="B30" s="15" t="s">
        <v>730</v>
      </c>
      <c r="C30" s="14" t="s">
        <v>553</v>
      </c>
      <c r="D30" s="14" t="s">
        <v>722</v>
      </c>
      <c r="E30" s="14" t="s">
        <v>731</v>
      </c>
      <c r="F30" s="14" t="s">
        <v>732</v>
      </c>
      <c r="G30" s="14" t="s">
        <v>733</v>
      </c>
      <c r="H30" s="14" t="s">
        <v>734</v>
      </c>
      <c r="I30" s="14" t="s">
        <v>727</v>
      </c>
      <c r="J30" s="14" t="s">
        <v>538</v>
      </c>
      <c r="K30" s="14" t="s">
        <v>735</v>
      </c>
      <c r="L30" s="14" t="str">
        <f>HYPERLINK("https://he-eppat.vercel.app/Backlog-HE-EAW-Prototype.html","https://he-eppat.vercel.app/Backlog-HE-EAW-Prototype.html")</f>
        <v>https://he-eppat.vercel.app/Backlog-HE-EAW-Prototype.html</v>
      </c>
      <c r="M30" s="14" t="s">
        <v>736</v>
      </c>
      <c r="N30" s="12" t="s">
        <v>541</v>
      </c>
      <c r="O30" s="12" t="s">
        <v>27</v>
      </c>
      <c r="P30" s="16">
        <v>46321</v>
      </c>
    </row>
    <row r="31" spans="1:16" x14ac:dyDescent="0.25">
      <c r="A31" s="10">
        <v>27</v>
      </c>
      <c r="B31" s="11" t="s">
        <v>737</v>
      </c>
      <c r="C31" s="10" t="s">
        <v>553</v>
      </c>
      <c r="D31" s="10" t="s">
        <v>722</v>
      </c>
      <c r="E31" s="10" t="s">
        <v>738</v>
      </c>
      <c r="F31" s="10" t="s">
        <v>739</v>
      </c>
      <c r="G31" s="10" t="s">
        <v>740</v>
      </c>
      <c r="H31" s="10" t="s">
        <v>741</v>
      </c>
      <c r="I31" s="10" t="s">
        <v>727</v>
      </c>
      <c r="J31" s="10" t="s">
        <v>538</v>
      </c>
      <c r="K31" s="10" t="s">
        <v>742</v>
      </c>
      <c r="L31" s="10" t="str">
        <f>HYPERLINK("https://he-eppat.vercel.app/Backlog-HE-EAW-Prototype.html","https://he-eppat.vercel.app/Backlog-HE-EAW-Prototype.html")</f>
        <v>https://he-eppat.vercel.app/Backlog-HE-EAW-Prototype.html</v>
      </c>
      <c r="M31" s="10" t="s">
        <v>743</v>
      </c>
      <c r="N31" s="12" t="s">
        <v>541</v>
      </c>
      <c r="O31" s="12" t="s">
        <v>744</v>
      </c>
      <c r="P31" s="13">
        <v>46321</v>
      </c>
    </row>
    <row r="32" spans="1:16" x14ac:dyDescent="0.25">
      <c r="A32" s="14">
        <v>28</v>
      </c>
      <c r="B32" s="15" t="s">
        <v>745</v>
      </c>
      <c r="C32" s="14" t="s">
        <v>553</v>
      </c>
      <c r="D32" s="14" t="s">
        <v>722</v>
      </c>
      <c r="E32" s="14" t="s">
        <v>746</v>
      </c>
      <c r="F32" s="14" t="s">
        <v>747</v>
      </c>
      <c r="G32" s="14" t="s">
        <v>748</v>
      </c>
      <c r="H32" s="14" t="s">
        <v>749</v>
      </c>
      <c r="I32" s="14" t="s">
        <v>750</v>
      </c>
      <c r="J32" s="14" t="s">
        <v>538</v>
      </c>
      <c r="K32" s="14" t="s">
        <v>751</v>
      </c>
      <c r="L32" s="14" t="str">
        <f>HYPERLINK("https://he-eppat.vercel.app/Backlog-HE-EAW-Prototype.html","https://he-eppat.vercel.app/Backlog-HE-EAW-Prototype.html")</f>
        <v>https://he-eppat.vercel.app/Backlog-HE-EAW-Prototype.html</v>
      </c>
      <c r="M32" s="14" t="s">
        <v>752</v>
      </c>
      <c r="N32" s="12" t="s">
        <v>541</v>
      </c>
      <c r="O32" s="12" t="s">
        <v>27</v>
      </c>
      <c r="P32" s="16">
        <v>46321</v>
      </c>
    </row>
    <row r="33" spans="1:16" x14ac:dyDescent="0.25">
      <c r="A33" s="10">
        <v>29</v>
      </c>
      <c r="B33" s="11" t="s">
        <v>753</v>
      </c>
      <c r="C33" s="10" t="s">
        <v>553</v>
      </c>
      <c r="D33" s="10" t="s">
        <v>722</v>
      </c>
      <c r="E33" s="10" t="s">
        <v>754</v>
      </c>
      <c r="F33" s="10" t="s">
        <v>755</v>
      </c>
      <c r="G33" s="10" t="s">
        <v>756</v>
      </c>
      <c r="H33" s="10" t="s">
        <v>757</v>
      </c>
      <c r="I33" s="10" t="s">
        <v>750</v>
      </c>
      <c r="J33" s="10" t="s">
        <v>567</v>
      </c>
      <c r="K33" s="10" t="s">
        <v>758</v>
      </c>
      <c r="L33" s="10" t="str">
        <f>HYPERLINK("https://he-eppat.vercel.app/Backlog-HE-EAW-Prototype.html","https://he-eppat.vercel.app/Backlog-HE-EAW-Prototype.html")</f>
        <v>https://he-eppat.vercel.app/Backlog-HE-EAW-Prototype.html</v>
      </c>
      <c r="M33" s="10" t="s">
        <v>759</v>
      </c>
      <c r="N33" s="12" t="s">
        <v>541</v>
      </c>
      <c r="O33" s="12" t="s">
        <v>27</v>
      </c>
      <c r="P33" s="13">
        <v>46321</v>
      </c>
    </row>
    <row r="34" spans="1:16" x14ac:dyDescent="0.25">
      <c r="A34" s="14">
        <v>30</v>
      </c>
      <c r="B34" s="15" t="s">
        <v>760</v>
      </c>
      <c r="C34" s="14" t="s">
        <v>553</v>
      </c>
      <c r="D34" s="14" t="s">
        <v>722</v>
      </c>
      <c r="E34" s="14" t="s">
        <v>761</v>
      </c>
      <c r="F34" s="14" t="s">
        <v>762</v>
      </c>
      <c r="G34" s="14" t="s">
        <v>763</v>
      </c>
      <c r="H34" s="14" t="s">
        <v>647</v>
      </c>
      <c r="I34" s="14" t="s">
        <v>764</v>
      </c>
      <c r="J34" s="14" t="s">
        <v>567</v>
      </c>
      <c r="K34" s="14" t="s">
        <v>765</v>
      </c>
      <c r="L34" s="14" t="str">
        <f>HYPERLINK("https://he-eppat.vercel.app/Backlog-HE-EAW-Prototype.html","https://he-eppat.vercel.app/Backlog-HE-EAW-Prototype.html")</f>
        <v>https://he-eppat.vercel.app/Backlog-HE-EAW-Prototype.html</v>
      </c>
      <c r="M34" s="14" t="s">
        <v>766</v>
      </c>
      <c r="N34" s="12" t="s">
        <v>541</v>
      </c>
      <c r="O34" s="12" t="s">
        <v>27</v>
      </c>
      <c r="P34" s="16">
        <v>46321</v>
      </c>
    </row>
    <row r="35" spans="1:16" x14ac:dyDescent="0.25">
      <c r="A35" s="10">
        <v>31</v>
      </c>
      <c r="B35" s="11" t="s">
        <v>767</v>
      </c>
      <c r="C35" s="10" t="s">
        <v>553</v>
      </c>
      <c r="D35" s="10" t="s">
        <v>768</v>
      </c>
      <c r="E35" s="10" t="s">
        <v>769</v>
      </c>
      <c r="F35" s="10" t="s">
        <v>770</v>
      </c>
      <c r="G35" s="10" t="s">
        <v>771</v>
      </c>
      <c r="H35" s="10" t="s">
        <v>772</v>
      </c>
      <c r="I35" s="10" t="s">
        <v>773</v>
      </c>
      <c r="J35" s="10" t="s">
        <v>538</v>
      </c>
      <c r="K35" s="10" t="s">
        <v>774</v>
      </c>
      <c r="L35" s="10" t="str">
        <f>HYPERLINK("https://he-eppat.vercel.app/Backlog-HE-CA-Prototype.html","https://he-eppat.vercel.app/Backlog-HE-CA-Prototype.html")</f>
        <v>https://he-eppat.vercel.app/Backlog-HE-CA-Prototype.html</v>
      </c>
      <c r="M35" s="10" t="s">
        <v>775</v>
      </c>
      <c r="N35" s="12" t="s">
        <v>541</v>
      </c>
      <c r="O35" s="12" t="s">
        <v>776</v>
      </c>
      <c r="P35" s="13">
        <v>46321</v>
      </c>
    </row>
    <row r="36" spans="1:16" x14ac:dyDescent="0.25">
      <c r="A36" s="14">
        <v>32</v>
      </c>
      <c r="B36" s="15" t="s">
        <v>777</v>
      </c>
      <c r="C36" s="14" t="s">
        <v>553</v>
      </c>
      <c r="D36" s="14" t="s">
        <v>768</v>
      </c>
      <c r="E36" s="14" t="s">
        <v>778</v>
      </c>
      <c r="F36" s="14" t="s">
        <v>779</v>
      </c>
      <c r="G36" s="14" t="s">
        <v>780</v>
      </c>
      <c r="H36" s="14" t="s">
        <v>781</v>
      </c>
      <c r="I36" s="14" t="s">
        <v>782</v>
      </c>
      <c r="J36" s="14" t="s">
        <v>538</v>
      </c>
      <c r="K36" s="14" t="s">
        <v>783</v>
      </c>
      <c r="L36" s="14" t="str">
        <f>HYPERLINK("https://he-eppat.vercel.app/Backlog-HE-CA-Prototype.html","https://he-eppat.vercel.app/Backlog-HE-CA-Prototype.html")</f>
        <v>https://he-eppat.vercel.app/Backlog-HE-CA-Prototype.html</v>
      </c>
      <c r="M36" s="14" t="s">
        <v>784</v>
      </c>
      <c r="N36" s="12" t="s">
        <v>541</v>
      </c>
      <c r="O36" s="12" t="s">
        <v>27</v>
      </c>
      <c r="P36" s="16">
        <v>46321</v>
      </c>
    </row>
    <row r="37" spans="1:16" x14ac:dyDescent="0.25">
      <c r="A37" s="10">
        <v>33</v>
      </c>
      <c r="B37" s="11" t="s">
        <v>785</v>
      </c>
      <c r="C37" s="10" t="s">
        <v>553</v>
      </c>
      <c r="D37" s="10" t="s">
        <v>768</v>
      </c>
      <c r="E37" s="10" t="s">
        <v>786</v>
      </c>
      <c r="F37" s="10" t="s">
        <v>787</v>
      </c>
      <c r="G37" s="10" t="s">
        <v>788</v>
      </c>
      <c r="H37" s="10" t="s">
        <v>669</v>
      </c>
      <c r="I37" s="10" t="s">
        <v>789</v>
      </c>
      <c r="J37" s="10" t="s">
        <v>567</v>
      </c>
      <c r="K37" s="10" t="s">
        <v>774</v>
      </c>
      <c r="L37" s="10" t="str">
        <f>HYPERLINK("https://he-eppat.vercel.app/Backlog-HE-CA-Prototype.html","https://he-eppat.vercel.app/Backlog-HE-CA-Prototype.html")</f>
        <v>https://he-eppat.vercel.app/Backlog-HE-CA-Prototype.html</v>
      </c>
      <c r="M37" s="10" t="s">
        <v>790</v>
      </c>
      <c r="N37" s="12" t="s">
        <v>541</v>
      </c>
      <c r="O37" s="12" t="s">
        <v>27</v>
      </c>
      <c r="P37" s="13">
        <v>46321</v>
      </c>
    </row>
    <row r="38" spans="1:16" x14ac:dyDescent="0.25">
      <c r="A38" s="14">
        <v>34</v>
      </c>
      <c r="B38" s="15" t="s">
        <v>791</v>
      </c>
      <c r="C38" s="14" t="s">
        <v>553</v>
      </c>
      <c r="D38" s="14" t="s">
        <v>768</v>
      </c>
      <c r="E38" s="14" t="s">
        <v>792</v>
      </c>
      <c r="F38" s="14" t="s">
        <v>793</v>
      </c>
      <c r="G38" s="14" t="s">
        <v>794</v>
      </c>
      <c r="H38" s="14" t="s">
        <v>757</v>
      </c>
      <c r="I38" s="14" t="s">
        <v>789</v>
      </c>
      <c r="J38" s="14" t="s">
        <v>538</v>
      </c>
      <c r="K38" s="14" t="s">
        <v>795</v>
      </c>
      <c r="L38" s="14" t="str">
        <f>HYPERLINK("https://he-eppat.vercel.app/Backlog-HE-CA-Prototype.html","https://he-eppat.vercel.app/Backlog-HE-CA-Prototype.html")</f>
        <v>https://he-eppat.vercel.app/Backlog-HE-CA-Prototype.html</v>
      </c>
      <c r="M38" s="14" t="s">
        <v>796</v>
      </c>
      <c r="N38" s="12" t="s">
        <v>541</v>
      </c>
      <c r="O38" s="12" t="s">
        <v>27</v>
      </c>
      <c r="P38" s="16">
        <v>46321</v>
      </c>
    </row>
    <row r="39" spans="1:16" x14ac:dyDescent="0.25">
      <c r="A39" s="10">
        <v>35</v>
      </c>
      <c r="B39" s="11" t="s">
        <v>797</v>
      </c>
      <c r="C39" s="10" t="s">
        <v>553</v>
      </c>
      <c r="D39" s="10" t="s">
        <v>768</v>
      </c>
      <c r="E39" s="10" t="s">
        <v>798</v>
      </c>
      <c r="F39" s="10" t="s">
        <v>799</v>
      </c>
      <c r="G39" s="10" t="s">
        <v>800</v>
      </c>
      <c r="H39" s="10" t="s">
        <v>726</v>
      </c>
      <c r="I39" s="10" t="s">
        <v>782</v>
      </c>
      <c r="J39" s="10" t="s">
        <v>567</v>
      </c>
      <c r="K39" s="10" t="s">
        <v>774</v>
      </c>
      <c r="L39" s="10" t="str">
        <f>HYPERLINK("https://he-eppat.vercel.app/Backlog-HE-CA-Prototype.html","https://he-eppat.vercel.app/Backlog-HE-CA-Prototype.html")</f>
        <v>https://he-eppat.vercel.app/Backlog-HE-CA-Prototype.html</v>
      </c>
      <c r="M39" s="10" t="s">
        <v>801</v>
      </c>
      <c r="N39" s="12" t="s">
        <v>541</v>
      </c>
      <c r="O39" s="12" t="s">
        <v>802</v>
      </c>
      <c r="P39" s="13">
        <v>46321</v>
      </c>
    </row>
    <row r="40" spans="1:16" x14ac:dyDescent="0.25">
      <c r="A40" s="14">
        <v>36</v>
      </c>
      <c r="B40" s="15" t="s">
        <v>803</v>
      </c>
      <c r="C40" s="14" t="s">
        <v>553</v>
      </c>
      <c r="D40" s="14" t="s">
        <v>768</v>
      </c>
      <c r="E40" s="14" t="s">
        <v>804</v>
      </c>
      <c r="F40" s="14" t="s">
        <v>805</v>
      </c>
      <c r="G40" s="14" t="s">
        <v>806</v>
      </c>
      <c r="H40" s="14" t="s">
        <v>807</v>
      </c>
      <c r="I40" s="14" t="s">
        <v>808</v>
      </c>
      <c r="J40" s="14" t="s">
        <v>567</v>
      </c>
      <c r="K40" s="14" t="s">
        <v>809</v>
      </c>
      <c r="L40" s="14" t="str">
        <f>HYPERLINK("https://he-eppat.vercel.app/Backlog-HE-CA-Prototype.html","https://he-eppat.vercel.app/Backlog-HE-CA-Prototype.html")</f>
        <v>https://he-eppat.vercel.app/Backlog-HE-CA-Prototype.html</v>
      </c>
      <c r="M40" s="14" t="s">
        <v>810</v>
      </c>
      <c r="N40" s="12" t="s">
        <v>541</v>
      </c>
      <c r="O40" s="12" t="s">
        <v>27</v>
      </c>
      <c r="P40" s="16">
        <v>46321</v>
      </c>
    </row>
    <row r="41" spans="1:16" x14ac:dyDescent="0.25">
      <c r="A41" s="10">
        <v>37</v>
      </c>
      <c r="B41" s="11" t="s">
        <v>811</v>
      </c>
      <c r="C41" s="10" t="s">
        <v>553</v>
      </c>
      <c r="D41" s="10" t="s">
        <v>768</v>
      </c>
      <c r="E41" s="10" t="s">
        <v>812</v>
      </c>
      <c r="F41" s="10" t="s">
        <v>813</v>
      </c>
      <c r="G41" s="10" t="s">
        <v>814</v>
      </c>
      <c r="H41" s="10" t="s">
        <v>815</v>
      </c>
      <c r="I41" s="10" t="s">
        <v>816</v>
      </c>
      <c r="J41" s="10" t="s">
        <v>538</v>
      </c>
      <c r="K41" s="10" t="s">
        <v>817</v>
      </c>
      <c r="L41" s="10" t="str">
        <f>HYPERLINK("https://he-eppat.vercel.app/Backlog-HE-CA-Prototype.html","https://he-eppat.vercel.app/Backlog-HE-CA-Prototype.html")</f>
        <v>https://he-eppat.vercel.app/Backlog-HE-CA-Prototype.html</v>
      </c>
      <c r="M41" s="10" t="s">
        <v>818</v>
      </c>
      <c r="N41" s="12" t="s">
        <v>541</v>
      </c>
      <c r="O41" s="12" t="s">
        <v>27</v>
      </c>
      <c r="P41" s="13">
        <v>46321</v>
      </c>
    </row>
    <row r="42" spans="1:16" x14ac:dyDescent="0.25">
      <c r="A42" s="14">
        <v>38</v>
      </c>
      <c r="B42" s="15" t="s">
        <v>819</v>
      </c>
      <c r="C42" s="14" t="s">
        <v>553</v>
      </c>
      <c r="D42" s="14" t="s">
        <v>768</v>
      </c>
      <c r="E42" s="14" t="s">
        <v>820</v>
      </c>
      <c r="F42" s="14" t="s">
        <v>821</v>
      </c>
      <c r="G42" s="14" t="s">
        <v>822</v>
      </c>
      <c r="H42" s="14" t="s">
        <v>823</v>
      </c>
      <c r="I42" s="14" t="s">
        <v>816</v>
      </c>
      <c r="J42" s="14" t="s">
        <v>567</v>
      </c>
      <c r="K42" s="14" t="s">
        <v>824</v>
      </c>
      <c r="L42" s="14" t="str">
        <f>HYPERLINK("https://he-eppat.vercel.app/Backlog-HE-CA-Prototype.html","https://he-eppat.vercel.app/Backlog-HE-CA-Prototype.html")</f>
        <v>https://he-eppat.vercel.app/Backlog-HE-CA-Prototype.html</v>
      </c>
      <c r="M42" s="14" t="s">
        <v>825</v>
      </c>
      <c r="N42" s="12" t="s">
        <v>541</v>
      </c>
      <c r="O42" s="12" t="s">
        <v>826</v>
      </c>
      <c r="P42" s="16">
        <v>46321</v>
      </c>
    </row>
    <row r="43" spans="1:16" x14ac:dyDescent="0.25">
      <c r="A43" s="10">
        <v>39</v>
      </c>
      <c r="B43" s="11" t="s">
        <v>827</v>
      </c>
      <c r="C43" s="10" t="s">
        <v>531</v>
      </c>
      <c r="D43" s="10" t="s">
        <v>416</v>
      </c>
      <c r="E43" s="10" t="s">
        <v>828</v>
      </c>
      <c r="F43" s="10" t="s">
        <v>829</v>
      </c>
      <c r="G43" s="10" t="s">
        <v>830</v>
      </c>
      <c r="H43" s="10" t="s">
        <v>831</v>
      </c>
      <c r="I43" s="10" t="s">
        <v>832</v>
      </c>
      <c r="J43" s="10" t="s">
        <v>641</v>
      </c>
      <c r="K43" s="10" t="s">
        <v>833</v>
      </c>
      <c r="L43" s="10" t="str">
        <f>HYPERLINK("https://he-eppat.vercel.app/Backlog-HE-USER-Prototype.html","https://he-eppat.vercel.app/Backlog-HE-USER-Prototype.html")</f>
        <v>https://he-eppat.vercel.app/Backlog-HE-USER-Prototype.html</v>
      </c>
      <c r="M43" s="10" t="s">
        <v>834</v>
      </c>
      <c r="N43" s="12" t="s">
        <v>541</v>
      </c>
      <c r="O43" s="12" t="s">
        <v>835</v>
      </c>
      <c r="P43" s="13">
        <v>46321</v>
      </c>
    </row>
    <row r="44" spans="1:16" x14ac:dyDescent="0.25">
      <c r="A44" s="14">
        <v>40</v>
      </c>
      <c r="B44" s="15" t="s">
        <v>836</v>
      </c>
      <c r="C44" s="14" t="s">
        <v>553</v>
      </c>
      <c r="D44" s="14" t="s">
        <v>837</v>
      </c>
      <c r="E44" s="14" t="s">
        <v>838</v>
      </c>
      <c r="F44" s="14" t="s">
        <v>839</v>
      </c>
      <c r="G44" s="14" t="s">
        <v>840</v>
      </c>
      <c r="H44" s="14" t="s">
        <v>757</v>
      </c>
      <c r="I44" s="14" t="s">
        <v>841</v>
      </c>
      <c r="J44" s="14" t="s">
        <v>567</v>
      </c>
      <c r="K44" s="14" t="s">
        <v>842</v>
      </c>
      <c r="L44" s="14" t="str">
        <f>HYPERLINK("https://he-eppat.vercel.app/Backlog-HE-EAWK-Prototype.html","https://he-eppat.vercel.app/Backlog-HE-EAWK-Prototype.html")</f>
        <v>https://he-eppat.vercel.app/Backlog-HE-EAWK-Prototype.html</v>
      </c>
      <c r="M44" s="14" t="s">
        <v>843</v>
      </c>
      <c r="N44" s="12" t="s">
        <v>541</v>
      </c>
      <c r="O44" s="12" t="s">
        <v>27</v>
      </c>
      <c r="P44" s="16">
        <v>46321</v>
      </c>
    </row>
    <row r="45" spans="1:16" x14ac:dyDescent="0.25">
      <c r="A45" s="10">
        <v>41</v>
      </c>
      <c r="B45" s="11" t="s">
        <v>844</v>
      </c>
      <c r="C45" s="10" t="s">
        <v>553</v>
      </c>
      <c r="D45" s="10" t="s">
        <v>837</v>
      </c>
      <c r="E45" s="10" t="s">
        <v>845</v>
      </c>
      <c r="F45" s="10" t="s">
        <v>846</v>
      </c>
      <c r="G45" s="10" t="s">
        <v>847</v>
      </c>
      <c r="H45" s="10" t="s">
        <v>848</v>
      </c>
      <c r="I45" s="10" t="s">
        <v>849</v>
      </c>
      <c r="J45" s="10" t="s">
        <v>538</v>
      </c>
      <c r="K45" s="10" t="s">
        <v>850</v>
      </c>
      <c r="L45" s="10" t="str">
        <f>HYPERLINK("https://he-eppat.vercel.app/Backlog-HE-EAWK-Prototype.html","https://he-eppat.vercel.app/Backlog-HE-EAWK-Prototype.html")</f>
        <v>https://he-eppat.vercel.app/Backlog-HE-EAWK-Prototype.html</v>
      </c>
      <c r="M45" s="10" t="s">
        <v>851</v>
      </c>
      <c r="N45" s="12" t="s">
        <v>541</v>
      </c>
      <c r="O45" s="12" t="s">
        <v>27</v>
      </c>
      <c r="P45" s="13">
        <v>46321</v>
      </c>
    </row>
    <row r="46" spans="1:16" x14ac:dyDescent="0.25">
      <c r="A46" s="14">
        <v>42</v>
      </c>
      <c r="B46" s="15" t="s">
        <v>852</v>
      </c>
      <c r="C46" s="14" t="s">
        <v>553</v>
      </c>
      <c r="D46" s="14" t="s">
        <v>837</v>
      </c>
      <c r="E46" s="14" t="s">
        <v>853</v>
      </c>
      <c r="F46" s="14" t="s">
        <v>854</v>
      </c>
      <c r="G46" s="14" t="s">
        <v>855</v>
      </c>
      <c r="H46" s="14" t="s">
        <v>856</v>
      </c>
      <c r="I46" s="14" t="s">
        <v>857</v>
      </c>
      <c r="J46" s="14" t="s">
        <v>538</v>
      </c>
      <c r="K46" s="14" t="s">
        <v>858</v>
      </c>
      <c r="L46" s="14" t="str">
        <f>HYPERLINK("https://he-eppat.vercel.app/Backlog-HE-EAWK-Prototype.html","https://he-eppat.vercel.app/Backlog-HE-EAWK-Prototype.html")</f>
        <v>https://he-eppat.vercel.app/Backlog-HE-EAWK-Prototype.html</v>
      </c>
      <c r="M46" s="14" t="s">
        <v>859</v>
      </c>
      <c r="N46" s="12" t="s">
        <v>541</v>
      </c>
      <c r="O46" s="12" t="s">
        <v>27</v>
      </c>
      <c r="P46" s="16">
        <v>46321</v>
      </c>
    </row>
    <row r="47" spans="1:16" x14ac:dyDescent="0.25">
      <c r="A47" s="10">
        <v>43</v>
      </c>
      <c r="B47" s="11" t="s">
        <v>860</v>
      </c>
      <c r="C47" s="10" t="s">
        <v>553</v>
      </c>
      <c r="D47" s="10" t="s">
        <v>837</v>
      </c>
      <c r="E47" s="10" t="s">
        <v>861</v>
      </c>
      <c r="F47" s="10" t="s">
        <v>862</v>
      </c>
      <c r="G47" s="10" t="s">
        <v>863</v>
      </c>
      <c r="H47" s="10" t="s">
        <v>864</v>
      </c>
      <c r="I47" s="10" t="s">
        <v>849</v>
      </c>
      <c r="J47" s="10" t="s">
        <v>538</v>
      </c>
      <c r="K47" s="10" t="s">
        <v>865</v>
      </c>
      <c r="L47" s="10" t="str">
        <f>HYPERLINK("https://he-eppat.vercel.app/Backlog-HE-EAWK-Prototype.html","https://he-eppat.vercel.app/Backlog-HE-EAWK-Prototype.html")</f>
        <v>https://he-eppat.vercel.app/Backlog-HE-EAWK-Prototype.html</v>
      </c>
      <c r="M47" s="10" t="s">
        <v>866</v>
      </c>
      <c r="N47" s="12" t="s">
        <v>541</v>
      </c>
      <c r="O47" s="12" t="s">
        <v>27</v>
      </c>
      <c r="P47" s="13">
        <v>46321</v>
      </c>
    </row>
    <row r="48" spans="1:16" x14ac:dyDescent="0.25">
      <c r="A48" s="14">
        <v>44</v>
      </c>
      <c r="B48" s="15" t="s">
        <v>867</v>
      </c>
      <c r="C48" s="14" t="s">
        <v>553</v>
      </c>
      <c r="D48" s="14" t="s">
        <v>837</v>
      </c>
      <c r="E48" s="14" t="s">
        <v>868</v>
      </c>
      <c r="F48" s="14" t="s">
        <v>869</v>
      </c>
      <c r="G48" s="14" t="s">
        <v>870</v>
      </c>
      <c r="H48" s="14" t="s">
        <v>749</v>
      </c>
      <c r="I48" s="14" t="s">
        <v>871</v>
      </c>
      <c r="J48" s="14" t="s">
        <v>538</v>
      </c>
      <c r="K48" s="14" t="s">
        <v>872</v>
      </c>
      <c r="L48" s="14" t="str">
        <f>HYPERLINK("https://he-eppat.vercel.app/Backlog-HE-EAWK-Prototype.html","https://he-eppat.vercel.app/Backlog-HE-EAWK-Prototype.html")</f>
        <v>https://he-eppat.vercel.app/Backlog-HE-EAWK-Prototype.html</v>
      </c>
      <c r="M48" s="14" t="s">
        <v>873</v>
      </c>
      <c r="N48" s="12" t="s">
        <v>541</v>
      </c>
      <c r="O48" s="12" t="s">
        <v>27</v>
      </c>
      <c r="P48" s="16">
        <v>46321</v>
      </c>
    </row>
    <row r="49" spans="1:16" x14ac:dyDescent="0.25">
      <c r="A49" s="10">
        <v>45</v>
      </c>
      <c r="B49" s="11" t="s">
        <v>874</v>
      </c>
      <c r="C49" s="10" t="s">
        <v>553</v>
      </c>
      <c r="D49" s="10" t="s">
        <v>837</v>
      </c>
      <c r="E49" s="10" t="s">
        <v>875</v>
      </c>
      <c r="F49" s="10" t="s">
        <v>876</v>
      </c>
      <c r="G49" s="10" t="s">
        <v>877</v>
      </c>
      <c r="H49" s="10" t="s">
        <v>878</v>
      </c>
      <c r="I49" s="10" t="s">
        <v>879</v>
      </c>
      <c r="J49" s="10" t="s">
        <v>567</v>
      </c>
      <c r="K49" s="10" t="s">
        <v>880</v>
      </c>
      <c r="L49" s="10" t="str">
        <f>HYPERLINK("https://he-eppat.vercel.app/Backlog-HE-EAWK-Prototype.html","https://he-eppat.vercel.app/Backlog-HE-EAWK-Prototype.html")</f>
        <v>https://he-eppat.vercel.app/Backlog-HE-EAWK-Prototype.html</v>
      </c>
      <c r="M49" s="10" t="s">
        <v>881</v>
      </c>
      <c r="N49" s="12" t="s">
        <v>541</v>
      </c>
      <c r="O49" s="12" t="s">
        <v>882</v>
      </c>
      <c r="P49" s="13">
        <v>46321</v>
      </c>
    </row>
    <row r="50" spans="1:16" x14ac:dyDescent="0.25">
      <c r="A50" s="14">
        <v>46</v>
      </c>
      <c r="B50" s="15" t="s">
        <v>883</v>
      </c>
      <c r="C50" s="14" t="s">
        <v>553</v>
      </c>
      <c r="D50" s="14" t="s">
        <v>837</v>
      </c>
      <c r="E50" s="14" t="s">
        <v>884</v>
      </c>
      <c r="F50" s="14" t="s">
        <v>885</v>
      </c>
      <c r="G50" s="14" t="s">
        <v>886</v>
      </c>
      <c r="H50" s="14" t="s">
        <v>546</v>
      </c>
      <c r="I50" s="14" t="s">
        <v>887</v>
      </c>
      <c r="J50" s="14" t="s">
        <v>567</v>
      </c>
      <c r="K50" s="14" t="s">
        <v>842</v>
      </c>
      <c r="L50" s="14" t="str">
        <f>HYPERLINK("https://he-eppat.vercel.app/Backlog-HE-EAWK-Prototype.html","https://he-eppat.vercel.app/Backlog-HE-EAWK-Prototype.html")</f>
        <v>https://he-eppat.vercel.app/Backlog-HE-EAWK-Prototype.html</v>
      </c>
      <c r="M50" s="14" t="s">
        <v>888</v>
      </c>
      <c r="N50" s="12" t="s">
        <v>541</v>
      </c>
      <c r="O50" s="12" t="s">
        <v>889</v>
      </c>
      <c r="P50" s="16">
        <v>46321</v>
      </c>
    </row>
    <row r="51" spans="1:16" x14ac:dyDescent="0.25">
      <c r="A51" s="10">
        <v>47</v>
      </c>
      <c r="B51" s="11" t="s">
        <v>890</v>
      </c>
      <c r="C51" s="10" t="s">
        <v>553</v>
      </c>
      <c r="D51" s="10" t="s">
        <v>891</v>
      </c>
      <c r="E51" s="10" t="s">
        <v>892</v>
      </c>
      <c r="F51" s="10" t="s">
        <v>893</v>
      </c>
      <c r="G51" s="10" t="s">
        <v>894</v>
      </c>
      <c r="H51" s="10" t="s">
        <v>895</v>
      </c>
      <c r="I51" s="10" t="s">
        <v>896</v>
      </c>
      <c r="J51" s="10" t="s">
        <v>567</v>
      </c>
      <c r="K51" s="10" t="s">
        <v>897</v>
      </c>
      <c r="L51" s="10" t="str">
        <f>HYPERLINK("https://he-eppat.vercel.app/Backlog-HE-VERIF-Prototype.html","https://he-eppat.vercel.app/Backlog-HE-VERIF-Prototype.html")</f>
        <v>https://he-eppat.vercel.app/Backlog-HE-VERIF-Prototype.html</v>
      </c>
      <c r="M51" s="10" t="s">
        <v>898</v>
      </c>
      <c r="N51" s="12" t="s">
        <v>541</v>
      </c>
      <c r="O51" s="12" t="s">
        <v>27</v>
      </c>
      <c r="P51" s="13">
        <v>46321</v>
      </c>
    </row>
    <row r="52" spans="1:16" x14ac:dyDescent="0.25">
      <c r="A52" s="14">
        <v>48</v>
      </c>
      <c r="B52" s="15" t="s">
        <v>899</v>
      </c>
      <c r="C52" s="14" t="s">
        <v>553</v>
      </c>
      <c r="D52" s="14" t="s">
        <v>891</v>
      </c>
      <c r="E52" s="14" t="s">
        <v>900</v>
      </c>
      <c r="F52" s="14" t="s">
        <v>901</v>
      </c>
      <c r="G52" s="14" t="s">
        <v>902</v>
      </c>
      <c r="H52" s="14" t="s">
        <v>903</v>
      </c>
      <c r="I52" s="14" t="s">
        <v>896</v>
      </c>
      <c r="J52" s="14" t="s">
        <v>567</v>
      </c>
      <c r="K52" s="14" t="s">
        <v>904</v>
      </c>
      <c r="L52" s="14" t="str">
        <f>HYPERLINK("https://he-eppat.vercel.app/Backlog-HE-VERIF-Prototype.html","https://he-eppat.vercel.app/Backlog-HE-VERIF-Prototype.html")</f>
        <v>https://he-eppat.vercel.app/Backlog-HE-VERIF-Prototype.html</v>
      </c>
      <c r="M52" s="14" t="s">
        <v>905</v>
      </c>
      <c r="N52" s="12" t="s">
        <v>541</v>
      </c>
      <c r="O52" s="12" t="s">
        <v>906</v>
      </c>
      <c r="P52" s="16">
        <v>46321</v>
      </c>
    </row>
    <row r="53" spans="1:16" x14ac:dyDescent="0.25">
      <c r="A53" s="10">
        <v>49</v>
      </c>
      <c r="B53" s="11" t="s">
        <v>907</v>
      </c>
      <c r="C53" s="10" t="s">
        <v>553</v>
      </c>
      <c r="D53" s="10" t="s">
        <v>891</v>
      </c>
      <c r="E53" s="10" t="s">
        <v>908</v>
      </c>
      <c r="F53" s="10" t="s">
        <v>909</v>
      </c>
      <c r="G53" s="10" t="s">
        <v>910</v>
      </c>
      <c r="H53" s="10" t="s">
        <v>911</v>
      </c>
      <c r="I53" s="10" t="s">
        <v>896</v>
      </c>
      <c r="J53" s="10" t="s">
        <v>538</v>
      </c>
      <c r="K53" s="10" t="s">
        <v>912</v>
      </c>
      <c r="L53" s="10" t="str">
        <f>HYPERLINK("https://he-eppat.vercel.app/Backlog-HE-VERIF-Prototype.html","https://he-eppat.vercel.app/Backlog-HE-VERIF-Prototype.html")</f>
        <v>https://he-eppat.vercel.app/Backlog-HE-VERIF-Prototype.html</v>
      </c>
      <c r="M53" s="10" t="s">
        <v>913</v>
      </c>
      <c r="N53" s="12" t="s">
        <v>541</v>
      </c>
      <c r="O53" s="12" t="s">
        <v>27</v>
      </c>
      <c r="P53" s="13">
        <v>46321</v>
      </c>
    </row>
    <row r="54" spans="1:16" x14ac:dyDescent="0.25">
      <c r="A54" s="14">
        <v>50</v>
      </c>
      <c r="B54" s="15" t="s">
        <v>914</v>
      </c>
      <c r="C54" s="14" t="s">
        <v>553</v>
      </c>
      <c r="D54" s="14" t="s">
        <v>891</v>
      </c>
      <c r="E54" s="14" t="s">
        <v>915</v>
      </c>
      <c r="F54" s="14" t="s">
        <v>916</v>
      </c>
      <c r="G54" s="14" t="s">
        <v>917</v>
      </c>
      <c r="H54" s="14" t="s">
        <v>918</v>
      </c>
      <c r="I54" s="14" t="s">
        <v>896</v>
      </c>
      <c r="J54" s="14" t="s">
        <v>641</v>
      </c>
      <c r="K54" s="14" t="s">
        <v>919</v>
      </c>
      <c r="L54" s="14" t="str">
        <f>HYPERLINK("https://he-eppat.vercel.app/Backlog-HE-VERIF-Prototype.html","https://he-eppat.vercel.app/Backlog-HE-VERIF-Prototype.html")</f>
        <v>https://he-eppat.vercel.app/Backlog-HE-VERIF-Prototype.html</v>
      </c>
      <c r="M54" s="14" t="s">
        <v>920</v>
      </c>
      <c r="N54" s="12" t="s">
        <v>541</v>
      </c>
      <c r="O54" s="12" t="s">
        <v>27</v>
      </c>
      <c r="P54" s="16">
        <v>46321</v>
      </c>
    </row>
    <row r="55" spans="1:16" x14ac:dyDescent="0.25">
      <c r="A55" s="10">
        <v>51</v>
      </c>
      <c r="B55" s="11" t="s">
        <v>96</v>
      </c>
      <c r="C55" s="10" t="s">
        <v>553</v>
      </c>
      <c r="D55" s="10" t="s">
        <v>891</v>
      </c>
      <c r="E55" s="10" t="s">
        <v>921</v>
      </c>
      <c r="F55" s="10" t="s">
        <v>922</v>
      </c>
      <c r="G55" s="10" t="s">
        <v>923</v>
      </c>
      <c r="H55" s="10" t="s">
        <v>661</v>
      </c>
      <c r="I55" s="10" t="s">
        <v>896</v>
      </c>
      <c r="J55" s="10" t="s">
        <v>567</v>
      </c>
      <c r="K55" s="10" t="s">
        <v>924</v>
      </c>
      <c r="L55" s="10" t="str">
        <f>HYPERLINK("https://he-eppat.vercel.app/Backlog-HE-VERIF-Prototype.html","https://he-eppat.vercel.app/Backlog-HE-VERIF-Prototype.html")</f>
        <v>https://he-eppat.vercel.app/Backlog-HE-VERIF-Prototype.html</v>
      </c>
      <c r="M55" s="10" t="s">
        <v>925</v>
      </c>
      <c r="N55" s="12" t="s">
        <v>541</v>
      </c>
      <c r="O55" s="12" t="s">
        <v>27</v>
      </c>
      <c r="P55" s="13">
        <v>46321</v>
      </c>
    </row>
    <row r="56" spans="1:16" x14ac:dyDescent="0.25">
      <c r="A56" s="14">
        <v>52</v>
      </c>
      <c r="B56" s="15" t="s">
        <v>926</v>
      </c>
      <c r="C56" s="14" t="s">
        <v>553</v>
      </c>
      <c r="D56" s="14" t="s">
        <v>927</v>
      </c>
      <c r="E56" s="14" t="s">
        <v>928</v>
      </c>
      <c r="F56" s="14" t="s">
        <v>929</v>
      </c>
      <c r="G56" s="14" t="s">
        <v>930</v>
      </c>
      <c r="H56" s="14" t="s">
        <v>669</v>
      </c>
      <c r="I56" s="14" t="s">
        <v>931</v>
      </c>
      <c r="J56" s="14" t="s">
        <v>641</v>
      </c>
      <c r="K56" s="14" t="s">
        <v>932</v>
      </c>
      <c r="L56" s="14" t="str">
        <f>HYPERLINK("https://he-eppat.vercel.app/Backlog-HE-USER-Prototype.html","https://he-eppat.vercel.app/Backlog-HE-USER-Prototype.html")</f>
        <v>https://he-eppat.vercel.app/Backlog-HE-USER-Prototype.html</v>
      </c>
      <c r="M56" s="14" t="s">
        <v>933</v>
      </c>
      <c r="N56" s="12" t="s">
        <v>541</v>
      </c>
      <c r="O56" s="12" t="s">
        <v>27</v>
      </c>
      <c r="P56" s="16">
        <v>46321</v>
      </c>
    </row>
    <row r="57" spans="1:16" x14ac:dyDescent="0.25">
      <c r="A57" s="10">
        <v>53</v>
      </c>
      <c r="B57" s="11" t="s">
        <v>934</v>
      </c>
      <c r="C57" s="10" t="s">
        <v>553</v>
      </c>
      <c r="D57" s="10" t="s">
        <v>927</v>
      </c>
      <c r="E57" s="10" t="s">
        <v>935</v>
      </c>
      <c r="F57" s="10" t="s">
        <v>936</v>
      </c>
      <c r="G57" s="10" t="s">
        <v>937</v>
      </c>
      <c r="H57" s="10" t="s">
        <v>918</v>
      </c>
      <c r="I57" s="10" t="s">
        <v>931</v>
      </c>
      <c r="J57" s="10" t="s">
        <v>567</v>
      </c>
      <c r="K57" s="10" t="s">
        <v>833</v>
      </c>
      <c r="L57" s="10" t="str">
        <f>HYPERLINK("https://he-eppat.vercel.app/Backlog-HE-USER-Prototype.html","https://he-eppat.vercel.app/Backlog-HE-USER-Prototype.html")</f>
        <v>https://he-eppat.vercel.app/Backlog-HE-USER-Prototype.html</v>
      </c>
      <c r="M57" s="10" t="s">
        <v>938</v>
      </c>
      <c r="N57" s="12" t="s">
        <v>541</v>
      </c>
      <c r="O57" s="12" t="s">
        <v>27</v>
      </c>
      <c r="P57" s="13">
        <v>46321</v>
      </c>
    </row>
    <row r="58" spans="1:16" x14ac:dyDescent="0.25">
      <c r="A58" s="14">
        <v>54</v>
      </c>
      <c r="B58" s="15" t="s">
        <v>939</v>
      </c>
      <c r="C58" s="14" t="s">
        <v>553</v>
      </c>
      <c r="D58" s="14" t="s">
        <v>927</v>
      </c>
      <c r="E58" s="14" t="s">
        <v>940</v>
      </c>
      <c r="F58" s="14" t="s">
        <v>941</v>
      </c>
      <c r="G58" s="14" t="s">
        <v>942</v>
      </c>
      <c r="H58" s="14" t="s">
        <v>943</v>
      </c>
      <c r="I58" s="14" t="s">
        <v>931</v>
      </c>
      <c r="J58" s="14" t="s">
        <v>567</v>
      </c>
      <c r="K58" s="14" t="s">
        <v>944</v>
      </c>
      <c r="L58" s="14" t="str">
        <f>HYPERLINK("https://he-eppat.vercel.app/Backlog-HE-USER-Prototype.html","https://he-eppat.vercel.app/Backlog-HE-USER-Prototype.html")</f>
        <v>https://he-eppat.vercel.app/Backlog-HE-USER-Prototype.html</v>
      </c>
      <c r="M58" s="14" t="s">
        <v>945</v>
      </c>
      <c r="N58" s="12" t="s">
        <v>541</v>
      </c>
      <c r="O58" s="12" t="s">
        <v>946</v>
      </c>
      <c r="P58" s="16">
        <v>46321</v>
      </c>
    </row>
    <row r="59" spans="1:16" x14ac:dyDescent="0.25">
      <c r="A59" s="10">
        <v>55</v>
      </c>
      <c r="B59" s="11" t="s">
        <v>224</v>
      </c>
      <c r="C59" s="10" t="s">
        <v>553</v>
      </c>
      <c r="D59" s="10" t="s">
        <v>927</v>
      </c>
      <c r="E59" s="10" t="s">
        <v>947</v>
      </c>
      <c r="F59" s="10" t="s">
        <v>948</v>
      </c>
      <c r="G59" s="10" t="s">
        <v>949</v>
      </c>
      <c r="H59" s="10" t="s">
        <v>950</v>
      </c>
      <c r="I59" s="10" t="s">
        <v>931</v>
      </c>
      <c r="J59" s="10" t="s">
        <v>641</v>
      </c>
      <c r="K59" s="10" t="s">
        <v>833</v>
      </c>
      <c r="L59" s="10" t="str">
        <f>HYPERLINK("https://he-eppat.vercel.app/Backlog-HE-USER-Prototype.html","https://he-eppat.vercel.app/Backlog-HE-USER-Prototype.html")</f>
        <v>https://he-eppat.vercel.app/Backlog-HE-USER-Prototype.html</v>
      </c>
      <c r="M59" s="10" t="s">
        <v>951</v>
      </c>
      <c r="N59" s="12" t="s">
        <v>541</v>
      </c>
      <c r="O59" s="12" t="s">
        <v>27</v>
      </c>
      <c r="P59" s="13">
        <v>46321</v>
      </c>
    </row>
    <row r="60" spans="1:16" x14ac:dyDescent="0.25">
      <c r="A60" s="14">
        <v>56</v>
      </c>
      <c r="B60" s="15" t="s">
        <v>952</v>
      </c>
      <c r="C60" s="14" t="s">
        <v>953</v>
      </c>
      <c r="D60" s="14" t="s">
        <v>954</v>
      </c>
      <c r="E60" s="14" t="s">
        <v>955</v>
      </c>
      <c r="F60" s="14" t="s">
        <v>956</v>
      </c>
      <c r="G60" s="14" t="s">
        <v>957</v>
      </c>
      <c r="H60" s="14" t="s">
        <v>958</v>
      </c>
      <c r="I60" s="14" t="s">
        <v>959</v>
      </c>
      <c r="J60" s="14" t="s">
        <v>567</v>
      </c>
      <c r="K60" s="14" t="s">
        <v>960</v>
      </c>
      <c r="L60" s="14" t="str">
        <f>HYPERLINK("https://he-eppat.vercel.app/Backlog-HE-ONBOARDING-Prototype.html","https://he-eppat.vercel.app/Backlog-HE-ONBOARDING-Prototype.html")</f>
        <v>https://he-eppat.vercel.app/Backlog-HE-ONBOARDING-Prototype.html</v>
      </c>
      <c r="M60" s="14" t="s">
        <v>961</v>
      </c>
      <c r="N60" s="12" t="s">
        <v>541</v>
      </c>
      <c r="O60" s="12" t="s">
        <v>27</v>
      </c>
      <c r="P60" s="16">
        <v>46321</v>
      </c>
    </row>
    <row r="61" spans="1:16" x14ac:dyDescent="0.25">
      <c r="A61" s="10">
        <v>57</v>
      </c>
      <c r="B61" s="11" t="s">
        <v>962</v>
      </c>
      <c r="C61" s="10" t="s">
        <v>953</v>
      </c>
      <c r="D61" s="10" t="s">
        <v>954</v>
      </c>
      <c r="E61" s="10" t="s">
        <v>963</v>
      </c>
      <c r="F61" s="10" t="s">
        <v>964</v>
      </c>
      <c r="G61" s="10" t="s">
        <v>965</v>
      </c>
      <c r="H61" s="10" t="s">
        <v>582</v>
      </c>
      <c r="I61" s="10" t="s">
        <v>959</v>
      </c>
      <c r="J61" s="10" t="s">
        <v>641</v>
      </c>
      <c r="K61" s="10" t="s">
        <v>960</v>
      </c>
      <c r="L61" s="10" t="str">
        <f>HYPERLINK("https://he-eppat.vercel.app/Backlog-HE-ONBOARDING-Prototype.html","https://he-eppat.vercel.app/Backlog-HE-ONBOARDING-Prototype.html")</f>
        <v>https://he-eppat.vercel.app/Backlog-HE-ONBOARDING-Prototype.html</v>
      </c>
      <c r="M61" s="10" t="s">
        <v>966</v>
      </c>
      <c r="N61" s="12" t="s">
        <v>541</v>
      </c>
      <c r="O61" s="12" t="s">
        <v>967</v>
      </c>
      <c r="P61" s="13">
        <v>46321</v>
      </c>
    </row>
    <row r="62" spans="1:16" x14ac:dyDescent="0.25">
      <c r="A62" s="14">
        <v>58</v>
      </c>
      <c r="B62" s="15" t="s">
        <v>968</v>
      </c>
      <c r="C62" s="14" t="s">
        <v>953</v>
      </c>
      <c r="D62" s="14" t="s">
        <v>954</v>
      </c>
      <c r="E62" s="14" t="s">
        <v>969</v>
      </c>
      <c r="F62" s="14" t="s">
        <v>970</v>
      </c>
      <c r="G62" s="14" t="s">
        <v>971</v>
      </c>
      <c r="H62" s="14" t="s">
        <v>972</v>
      </c>
      <c r="I62" s="14" t="s">
        <v>959</v>
      </c>
      <c r="J62" s="14" t="s">
        <v>641</v>
      </c>
      <c r="K62" s="14" t="s">
        <v>973</v>
      </c>
      <c r="L62" s="14" t="str">
        <f>HYPERLINK("https://he-eppat.vercel.app/Backlog-HE-ONBOARDING-Prototype.html","https://he-eppat.vercel.app/Backlog-HE-ONBOARDING-Prototype.html")</f>
        <v>https://he-eppat.vercel.app/Backlog-HE-ONBOARDING-Prototype.html</v>
      </c>
      <c r="M62" s="14" t="s">
        <v>974</v>
      </c>
      <c r="N62" s="12" t="s">
        <v>541</v>
      </c>
      <c r="O62" s="12" t="s">
        <v>27</v>
      </c>
      <c r="P62" s="16">
        <v>46321</v>
      </c>
    </row>
    <row r="63" spans="1:16" x14ac:dyDescent="0.25">
      <c r="A63" s="10">
        <v>59</v>
      </c>
      <c r="B63" s="11" t="s">
        <v>975</v>
      </c>
      <c r="C63" s="10" t="s">
        <v>953</v>
      </c>
      <c r="D63" s="10" t="s">
        <v>954</v>
      </c>
      <c r="E63" s="10" t="s">
        <v>976</v>
      </c>
      <c r="F63" s="10" t="s">
        <v>977</v>
      </c>
      <c r="G63" s="10" t="s">
        <v>978</v>
      </c>
      <c r="H63" s="10" t="s">
        <v>943</v>
      </c>
      <c r="I63" s="10" t="s">
        <v>959</v>
      </c>
      <c r="J63" s="10" t="s">
        <v>641</v>
      </c>
      <c r="K63" s="10" t="s">
        <v>960</v>
      </c>
      <c r="L63" s="10" t="str">
        <f>HYPERLINK("https://he-eppat.vercel.app/Backlog-HE-ONBOARDING-Prototype.html","https://he-eppat.vercel.app/Backlog-HE-ONBOARDING-Prototype.html")</f>
        <v>https://he-eppat.vercel.app/Backlog-HE-ONBOARDING-Prototype.html</v>
      </c>
      <c r="M63" s="10" t="s">
        <v>979</v>
      </c>
      <c r="N63" s="12" t="s">
        <v>541</v>
      </c>
      <c r="O63" s="12" t="s">
        <v>27</v>
      </c>
      <c r="P63" s="13">
        <v>46321</v>
      </c>
    </row>
    <row r="64" spans="1:16" x14ac:dyDescent="0.25">
      <c r="A64" s="14">
        <v>60</v>
      </c>
      <c r="B64" s="15" t="s">
        <v>980</v>
      </c>
      <c r="C64" s="14" t="s">
        <v>953</v>
      </c>
      <c r="D64" s="14" t="s">
        <v>981</v>
      </c>
      <c r="E64" s="14" t="s">
        <v>982</v>
      </c>
      <c r="F64" s="14" t="s">
        <v>983</v>
      </c>
      <c r="G64" s="14" t="s">
        <v>984</v>
      </c>
      <c r="H64" s="14" t="s">
        <v>903</v>
      </c>
      <c r="I64" s="14" t="s">
        <v>985</v>
      </c>
      <c r="J64" s="14" t="s">
        <v>538</v>
      </c>
      <c r="K64" s="14" t="s">
        <v>986</v>
      </c>
      <c r="L64" s="14" t="str">
        <f>HYPERLINK("https://he-eppat.vercel.app/Backlog-HE-ONBOARDING-Prototype.html","https://he-eppat.vercel.app/Backlog-HE-ONBOARDING-Prototype.html")</f>
        <v>https://he-eppat.vercel.app/Backlog-HE-ONBOARDING-Prototype.html</v>
      </c>
      <c r="M64" s="14" t="s">
        <v>987</v>
      </c>
      <c r="N64" s="12" t="s">
        <v>541</v>
      </c>
      <c r="O64" s="12" t="s">
        <v>27</v>
      </c>
      <c r="P64" s="16">
        <v>46321</v>
      </c>
    </row>
    <row r="65" spans="1:16" x14ac:dyDescent="0.25">
      <c r="A65" s="10">
        <v>61</v>
      </c>
      <c r="B65" s="11" t="s">
        <v>988</v>
      </c>
      <c r="C65" s="10" t="s">
        <v>953</v>
      </c>
      <c r="D65" s="10" t="s">
        <v>981</v>
      </c>
      <c r="E65" s="10" t="s">
        <v>989</v>
      </c>
      <c r="F65" s="10" t="s">
        <v>990</v>
      </c>
      <c r="G65" s="10" t="s">
        <v>991</v>
      </c>
      <c r="H65" s="10" t="s">
        <v>992</v>
      </c>
      <c r="I65" s="10" t="s">
        <v>985</v>
      </c>
      <c r="J65" s="10" t="s">
        <v>538</v>
      </c>
      <c r="K65" s="10" t="s">
        <v>993</v>
      </c>
      <c r="L65" s="10" t="str">
        <f>HYPERLINK("https://he-eppat.vercel.app/Backlog-HE-ONBOARDING-Prototype.html","https://he-eppat.vercel.app/Backlog-HE-ONBOARDING-Prototype.html")</f>
        <v>https://he-eppat.vercel.app/Backlog-HE-ONBOARDING-Prototype.html</v>
      </c>
      <c r="M65" s="10" t="s">
        <v>994</v>
      </c>
      <c r="N65" s="12" t="s">
        <v>541</v>
      </c>
      <c r="O65" s="12" t="s">
        <v>995</v>
      </c>
      <c r="P65" s="13">
        <v>46321</v>
      </c>
    </row>
    <row r="66" spans="1:16" x14ac:dyDescent="0.25">
      <c r="A66" s="14">
        <v>62</v>
      </c>
      <c r="B66" s="15" t="s">
        <v>996</v>
      </c>
      <c r="C66" s="14" t="s">
        <v>953</v>
      </c>
      <c r="D66" s="14" t="s">
        <v>981</v>
      </c>
      <c r="E66" s="14" t="s">
        <v>997</v>
      </c>
      <c r="F66" s="14" t="s">
        <v>998</v>
      </c>
      <c r="G66" s="14" t="s">
        <v>999</v>
      </c>
      <c r="H66" s="14" t="s">
        <v>1000</v>
      </c>
      <c r="I66" s="14" t="s">
        <v>985</v>
      </c>
      <c r="J66" s="14" t="s">
        <v>567</v>
      </c>
      <c r="K66" s="14" t="s">
        <v>1001</v>
      </c>
      <c r="L66" s="14" t="str">
        <f>HYPERLINK("https://he-eppat.vercel.app/Backlog-HE-ONBOARDING-Prototype.html","https://he-eppat.vercel.app/Backlog-HE-ONBOARDING-Prototype.html")</f>
        <v>https://he-eppat.vercel.app/Backlog-HE-ONBOARDING-Prototype.html</v>
      </c>
      <c r="M66" s="14" t="s">
        <v>1002</v>
      </c>
      <c r="N66" s="12" t="s">
        <v>541</v>
      </c>
      <c r="O66" s="12" t="s">
        <v>27</v>
      </c>
      <c r="P66" s="16">
        <v>46321</v>
      </c>
    </row>
    <row r="67" spans="1:16" x14ac:dyDescent="0.25">
      <c r="A67" s="10">
        <v>63</v>
      </c>
      <c r="B67" s="11" t="s">
        <v>1003</v>
      </c>
      <c r="C67" s="10" t="s">
        <v>953</v>
      </c>
      <c r="D67" s="10" t="s">
        <v>981</v>
      </c>
      <c r="E67" s="10" t="s">
        <v>1004</v>
      </c>
      <c r="F67" s="10" t="s">
        <v>1005</v>
      </c>
      <c r="G67" s="10" t="s">
        <v>1006</v>
      </c>
      <c r="H67" s="10" t="s">
        <v>1007</v>
      </c>
      <c r="I67" s="10" t="s">
        <v>985</v>
      </c>
      <c r="J67" s="10" t="s">
        <v>567</v>
      </c>
      <c r="K67" s="10" t="s">
        <v>1008</v>
      </c>
      <c r="L67" s="10" t="str">
        <f>HYPERLINK("https://he-eppat.vercel.app/Backlog-HE-ONBOARDING-Prototype.html","https://he-eppat.vercel.app/Backlog-HE-ONBOARDING-Prototype.html")</f>
        <v>https://he-eppat.vercel.app/Backlog-HE-ONBOARDING-Prototype.html</v>
      </c>
      <c r="M67" s="10" t="s">
        <v>1009</v>
      </c>
      <c r="N67" s="12" t="s">
        <v>541</v>
      </c>
      <c r="O67" s="12" t="s">
        <v>27</v>
      </c>
      <c r="P67" s="13">
        <v>46321</v>
      </c>
    </row>
    <row r="68" spans="1:16" x14ac:dyDescent="0.25">
      <c r="A68" s="14">
        <v>64</v>
      </c>
      <c r="B68" s="15" t="s">
        <v>1010</v>
      </c>
      <c r="C68" s="14" t="s">
        <v>953</v>
      </c>
      <c r="D68" s="14" t="s">
        <v>1011</v>
      </c>
      <c r="E68" s="14" t="s">
        <v>1012</v>
      </c>
      <c r="F68" s="14" t="s">
        <v>1013</v>
      </c>
      <c r="G68" s="14" t="s">
        <v>1014</v>
      </c>
      <c r="H68" s="14" t="s">
        <v>1015</v>
      </c>
      <c r="I68" s="14" t="s">
        <v>1016</v>
      </c>
      <c r="J68" s="14" t="s">
        <v>567</v>
      </c>
      <c r="K68" s="14" t="s">
        <v>1017</v>
      </c>
      <c r="L68" s="14" t="str">
        <f>HYPERLINK("https://he-eppat.vercel.app/Backlog-HE-ONBOARDING-Prototype.html","https://he-eppat.vercel.app/Backlog-HE-ONBOARDING-Prototype.html")</f>
        <v>https://he-eppat.vercel.app/Backlog-HE-ONBOARDING-Prototype.html</v>
      </c>
      <c r="M68" s="14" t="s">
        <v>1018</v>
      </c>
      <c r="N68" s="12" t="s">
        <v>541</v>
      </c>
      <c r="O68" s="12" t="s">
        <v>27</v>
      </c>
      <c r="P68" s="16">
        <v>46321</v>
      </c>
    </row>
    <row r="69" spans="1:16" x14ac:dyDescent="0.25">
      <c r="A69" s="10">
        <v>65</v>
      </c>
      <c r="B69" s="11" t="s">
        <v>1019</v>
      </c>
      <c r="C69" s="10" t="s">
        <v>953</v>
      </c>
      <c r="D69" s="10" t="s">
        <v>1011</v>
      </c>
      <c r="E69" s="10" t="s">
        <v>1020</v>
      </c>
      <c r="F69" s="10" t="s">
        <v>1021</v>
      </c>
      <c r="G69" s="10" t="s">
        <v>1022</v>
      </c>
      <c r="H69" s="10" t="s">
        <v>1023</v>
      </c>
      <c r="I69" s="10" t="s">
        <v>1016</v>
      </c>
      <c r="J69" s="10" t="s">
        <v>567</v>
      </c>
      <c r="K69" s="10" t="s">
        <v>1024</v>
      </c>
      <c r="L69" s="10" t="str">
        <f>HYPERLINK("https://he-eppat.vercel.app/Backlog-HE-ONBOARDING-Prototype.html","https://he-eppat.vercel.app/Backlog-HE-ONBOARDING-Prototype.html")</f>
        <v>https://he-eppat.vercel.app/Backlog-HE-ONBOARDING-Prototype.html</v>
      </c>
      <c r="M69" s="10" t="s">
        <v>1025</v>
      </c>
      <c r="N69" s="12" t="s">
        <v>541</v>
      </c>
      <c r="O69" s="12" t="s">
        <v>1026</v>
      </c>
      <c r="P69" s="13">
        <v>46321</v>
      </c>
    </row>
    <row r="70" spans="1:16" x14ac:dyDescent="0.25">
      <c r="A70" s="14">
        <v>66</v>
      </c>
      <c r="B70" s="15" t="s">
        <v>1027</v>
      </c>
      <c r="C70" s="14" t="s">
        <v>953</v>
      </c>
      <c r="D70" s="14" t="s">
        <v>1011</v>
      </c>
      <c r="E70" s="14" t="s">
        <v>1028</v>
      </c>
      <c r="F70" s="14" t="s">
        <v>1029</v>
      </c>
      <c r="G70" s="14" t="s">
        <v>1030</v>
      </c>
      <c r="H70" s="14" t="s">
        <v>972</v>
      </c>
      <c r="I70" s="14" t="s">
        <v>1016</v>
      </c>
      <c r="J70" s="14" t="s">
        <v>567</v>
      </c>
      <c r="K70" s="14" t="s">
        <v>1017</v>
      </c>
      <c r="L70" s="14" t="str">
        <f>HYPERLINK("https://he-eppat.vercel.app/Backlog-HE-ONBOARDING-Prototype.html","https://he-eppat.vercel.app/Backlog-HE-ONBOARDING-Prototype.html")</f>
        <v>https://he-eppat.vercel.app/Backlog-HE-ONBOARDING-Prototype.html</v>
      </c>
      <c r="M70" s="14" t="s">
        <v>1031</v>
      </c>
      <c r="N70" s="12" t="s">
        <v>541</v>
      </c>
      <c r="O70" s="12" t="s">
        <v>1032</v>
      </c>
      <c r="P70" s="16">
        <v>46321</v>
      </c>
    </row>
    <row r="71" spans="1:16" x14ac:dyDescent="0.25">
      <c r="A71" s="10">
        <v>67</v>
      </c>
      <c r="B71" s="11" t="s">
        <v>1033</v>
      </c>
      <c r="C71" s="10" t="s">
        <v>953</v>
      </c>
      <c r="D71" s="10" t="s">
        <v>1011</v>
      </c>
      <c r="E71" s="10" t="s">
        <v>1034</v>
      </c>
      <c r="F71" s="10" t="s">
        <v>1035</v>
      </c>
      <c r="G71" s="10" t="s">
        <v>1036</v>
      </c>
      <c r="H71" s="10" t="s">
        <v>1037</v>
      </c>
      <c r="I71" s="10" t="s">
        <v>1016</v>
      </c>
      <c r="J71" s="10" t="s">
        <v>538</v>
      </c>
      <c r="K71" s="10" t="s">
        <v>1038</v>
      </c>
      <c r="L71" s="10" t="str">
        <f>HYPERLINK("https://he-eppat.vercel.app/Backlog-HE-ONBOARDING-Prototype.html","https://he-eppat.vercel.app/Backlog-HE-ONBOARDING-Prototype.html")</f>
        <v>https://he-eppat.vercel.app/Backlog-HE-ONBOARDING-Prototype.html</v>
      </c>
      <c r="M71" s="10" t="s">
        <v>1039</v>
      </c>
      <c r="N71" s="12" t="s">
        <v>541</v>
      </c>
      <c r="O71" s="12" t="s">
        <v>27</v>
      </c>
      <c r="P71" s="13">
        <v>46321</v>
      </c>
    </row>
    <row r="72" spans="1:16" x14ac:dyDescent="0.25">
      <c r="A72" s="14">
        <v>68</v>
      </c>
      <c r="B72" s="15" t="s">
        <v>1040</v>
      </c>
      <c r="C72" s="14" t="s">
        <v>953</v>
      </c>
      <c r="D72" s="14" t="s">
        <v>1011</v>
      </c>
      <c r="E72" s="14" t="s">
        <v>1041</v>
      </c>
      <c r="F72" s="14" t="s">
        <v>1042</v>
      </c>
      <c r="G72" s="14" t="s">
        <v>1043</v>
      </c>
      <c r="H72" s="14" t="s">
        <v>1044</v>
      </c>
      <c r="I72" s="14" t="s">
        <v>1016</v>
      </c>
      <c r="J72" s="14" t="s">
        <v>641</v>
      </c>
      <c r="K72" s="14" t="s">
        <v>1045</v>
      </c>
      <c r="L72" s="14" t="str">
        <f>HYPERLINK("https://he-eppat.vercel.app/Backlog-HE-ONBOARDING-Prototype.html","https://he-eppat.vercel.app/Backlog-HE-ONBOARDING-Prototype.html")</f>
        <v>https://he-eppat.vercel.app/Backlog-HE-ONBOARDING-Prototype.html</v>
      </c>
      <c r="M72" s="14" t="s">
        <v>1046</v>
      </c>
      <c r="N72" s="12" t="s">
        <v>541</v>
      </c>
      <c r="O72" s="12" t="s">
        <v>1047</v>
      </c>
      <c r="P72" s="16">
        <v>46321</v>
      </c>
    </row>
    <row r="73" spans="1:16" x14ac:dyDescent="0.25">
      <c r="A73" s="10">
        <v>69</v>
      </c>
      <c r="B73" s="11" t="s">
        <v>101</v>
      </c>
      <c r="C73" s="10" t="s">
        <v>553</v>
      </c>
      <c r="D73" s="10" t="s">
        <v>722</v>
      </c>
      <c r="E73" s="10" t="s">
        <v>1048</v>
      </c>
      <c r="F73" s="10" t="s">
        <v>1049</v>
      </c>
      <c r="G73" s="10" t="s">
        <v>1050</v>
      </c>
      <c r="H73" s="10" t="s">
        <v>918</v>
      </c>
      <c r="I73" s="10" t="s">
        <v>1051</v>
      </c>
      <c r="J73" s="10" t="s">
        <v>641</v>
      </c>
      <c r="K73" s="10" t="s">
        <v>1052</v>
      </c>
      <c r="L73" s="10" t="str">
        <f>HYPERLINK("https://he-eppat.vercel.app/Backlog-HE-EAW-Prototype.html","https://he-eppat.vercel.app/Backlog-HE-EAW-Prototype.html")</f>
        <v>https://he-eppat.vercel.app/Backlog-HE-EAW-Prototype.html</v>
      </c>
      <c r="M73" s="10" t="s">
        <v>1053</v>
      </c>
      <c r="N73" s="12" t="s">
        <v>541</v>
      </c>
      <c r="O73" s="12" t="s">
        <v>27</v>
      </c>
      <c r="P73" s="13">
        <v>46321</v>
      </c>
    </row>
    <row r="74" spans="1:16" x14ac:dyDescent="0.25">
      <c r="A74" s="14">
        <v>70</v>
      </c>
      <c r="B74" s="15" t="s">
        <v>1054</v>
      </c>
      <c r="C74" s="14" t="s">
        <v>553</v>
      </c>
      <c r="D74" s="14" t="s">
        <v>722</v>
      </c>
      <c r="E74" s="14" t="s">
        <v>1055</v>
      </c>
      <c r="F74" s="14" t="s">
        <v>1056</v>
      </c>
      <c r="G74" s="14" t="s">
        <v>1057</v>
      </c>
      <c r="H74" s="14" t="s">
        <v>647</v>
      </c>
      <c r="I74" s="14" t="s">
        <v>1058</v>
      </c>
      <c r="J74" s="14" t="s">
        <v>538</v>
      </c>
      <c r="K74" s="14" t="s">
        <v>1059</v>
      </c>
      <c r="L74" s="14" t="str">
        <f>HYPERLINK("https://he-eppat.vercel.app/Backlog-HE-EAW-Prototype.html","https://he-eppat.vercel.app/Backlog-HE-EAW-Prototype.html")</f>
        <v>https://he-eppat.vercel.app/Backlog-HE-EAW-Prototype.html</v>
      </c>
      <c r="M74" s="14" t="s">
        <v>1060</v>
      </c>
      <c r="N74" s="12" t="s">
        <v>541</v>
      </c>
      <c r="O74" s="12" t="s">
        <v>1061</v>
      </c>
      <c r="P74" s="16">
        <v>46321</v>
      </c>
    </row>
    <row r="75" spans="1:16" x14ac:dyDescent="0.25">
      <c r="A75" s="10">
        <v>71</v>
      </c>
      <c r="B75" s="11" t="s">
        <v>1062</v>
      </c>
      <c r="C75" s="10" t="s">
        <v>553</v>
      </c>
      <c r="D75" s="10" t="s">
        <v>722</v>
      </c>
      <c r="E75" s="10" t="s">
        <v>1063</v>
      </c>
      <c r="F75" s="10" t="s">
        <v>1064</v>
      </c>
      <c r="G75" s="10" t="s">
        <v>1065</v>
      </c>
      <c r="H75" s="10" t="s">
        <v>647</v>
      </c>
      <c r="I75" s="10" t="s">
        <v>1058</v>
      </c>
      <c r="J75" s="10" t="s">
        <v>538</v>
      </c>
      <c r="K75" s="10" t="s">
        <v>1066</v>
      </c>
      <c r="L75" s="10" t="str">
        <f>HYPERLINK("https://he-eppat.vercel.app/Backlog-HE-EAW-Prototype.html","https://he-eppat.vercel.app/Backlog-HE-EAW-Prototype.html")</f>
        <v>https://he-eppat.vercel.app/Backlog-HE-EAW-Prototype.html</v>
      </c>
      <c r="M75" s="10" t="s">
        <v>1067</v>
      </c>
      <c r="N75" s="12" t="s">
        <v>541</v>
      </c>
      <c r="O75" s="12" t="s">
        <v>1068</v>
      </c>
      <c r="P75" s="13">
        <v>46321</v>
      </c>
    </row>
    <row r="76" spans="1:16" x14ac:dyDescent="0.25">
      <c r="A76" s="14">
        <v>72</v>
      </c>
      <c r="B76" s="15" t="s">
        <v>1069</v>
      </c>
      <c r="C76" s="14" t="s">
        <v>553</v>
      </c>
      <c r="D76" s="14" t="s">
        <v>722</v>
      </c>
      <c r="E76" s="14" t="s">
        <v>1070</v>
      </c>
      <c r="F76" s="14" t="s">
        <v>1071</v>
      </c>
      <c r="G76" s="14" t="s">
        <v>1072</v>
      </c>
      <c r="H76" s="14" t="s">
        <v>1073</v>
      </c>
      <c r="I76" s="14" t="s">
        <v>1074</v>
      </c>
      <c r="J76" s="14" t="s">
        <v>567</v>
      </c>
      <c r="K76" s="14" t="s">
        <v>1075</v>
      </c>
      <c r="L76" s="14" t="str">
        <f>HYPERLINK("https://he-eppat.vercel.app/Backlog-HE-EAW-Prototype.html","https://he-eppat.vercel.app/Backlog-HE-EAW-Prototype.html")</f>
        <v>https://he-eppat.vercel.app/Backlog-HE-EAW-Prototype.html</v>
      </c>
      <c r="M76" s="14" t="s">
        <v>1076</v>
      </c>
      <c r="N76" s="12" t="s">
        <v>541</v>
      </c>
      <c r="O76" s="12" t="s">
        <v>1077</v>
      </c>
      <c r="P76" s="16">
        <v>46321</v>
      </c>
    </row>
    <row r="77" spans="1:16" x14ac:dyDescent="0.25">
      <c r="A77" s="10">
        <v>73</v>
      </c>
      <c r="B77" s="11" t="s">
        <v>1078</v>
      </c>
      <c r="C77" s="10" t="s">
        <v>553</v>
      </c>
      <c r="D77" s="10" t="s">
        <v>722</v>
      </c>
      <c r="E77" s="10" t="s">
        <v>1079</v>
      </c>
      <c r="F77" s="10" t="s">
        <v>1080</v>
      </c>
      <c r="G77" s="10" t="s">
        <v>1081</v>
      </c>
      <c r="H77" s="10" t="s">
        <v>1082</v>
      </c>
      <c r="I77" s="10" t="s">
        <v>1074</v>
      </c>
      <c r="J77" s="10" t="s">
        <v>538</v>
      </c>
      <c r="K77" s="10" t="s">
        <v>1083</v>
      </c>
      <c r="L77" s="10" t="str">
        <f>HYPERLINK("https://he-eppat.vercel.app/Backlog-HE-EAW-Prototype.html","https://he-eppat.vercel.app/Backlog-HE-EAW-Prototype.html")</f>
        <v>https://he-eppat.vercel.app/Backlog-HE-EAW-Prototype.html</v>
      </c>
      <c r="M77" s="10" t="s">
        <v>1084</v>
      </c>
      <c r="N77" s="12" t="s">
        <v>541</v>
      </c>
      <c r="O77" s="12" t="s">
        <v>27</v>
      </c>
      <c r="P77" s="13">
        <v>46321</v>
      </c>
    </row>
    <row r="78" spans="1:16" x14ac:dyDescent="0.25">
      <c r="A78" s="14">
        <v>74</v>
      </c>
      <c r="B78" s="15" t="s">
        <v>1085</v>
      </c>
      <c r="C78" s="14" t="s">
        <v>553</v>
      </c>
      <c r="D78" s="14" t="s">
        <v>722</v>
      </c>
      <c r="E78" s="14" t="s">
        <v>1086</v>
      </c>
      <c r="F78" s="14" t="s">
        <v>1087</v>
      </c>
      <c r="G78" s="14" t="s">
        <v>1088</v>
      </c>
      <c r="H78" s="14" t="s">
        <v>741</v>
      </c>
      <c r="I78" s="14" t="s">
        <v>1074</v>
      </c>
      <c r="J78" s="14" t="s">
        <v>567</v>
      </c>
      <c r="K78" s="14" t="s">
        <v>1089</v>
      </c>
      <c r="L78" s="14" t="str">
        <f>HYPERLINK("https://he-eppat.vercel.app/Backlog-HE-EAW-Prototype.html","https://he-eppat.vercel.app/Backlog-HE-EAW-Prototype.html")</f>
        <v>https://he-eppat.vercel.app/Backlog-HE-EAW-Prototype.html</v>
      </c>
      <c r="M78" s="14" t="s">
        <v>1090</v>
      </c>
      <c r="N78" s="12" t="s">
        <v>541</v>
      </c>
      <c r="O78" s="12" t="s">
        <v>27</v>
      </c>
      <c r="P78" s="16">
        <v>46321</v>
      </c>
    </row>
    <row r="79" spans="10:14" x14ac:dyDescent="0.25"/>
    <row r="80" spans="10:14" x14ac:dyDescent="0.25"/>
    <row r="81" spans="10:14" x14ac:dyDescent="0.25"/>
    <row r="82" spans="10:14" x14ac:dyDescent="0.25"/>
    <row r="83" spans="10:14" x14ac:dyDescent="0.25"/>
    <row r="84" spans="10:14" x14ac:dyDescent="0.25"/>
    <row r="85" spans="10:14" x14ac:dyDescent="0.25"/>
    <row r="86" spans="10:14" x14ac:dyDescent="0.25"/>
    <row r="87" spans="10:14" x14ac:dyDescent="0.25"/>
    <row r="88" spans="10:14" x14ac:dyDescent="0.25"/>
    <row r="89" spans="10:14" x14ac:dyDescent="0.25"/>
    <row r="90" spans="10:14" x14ac:dyDescent="0.25"/>
    <row r="91" spans="10:14" x14ac:dyDescent="0.25"/>
    <row r="92" spans="10:14" x14ac:dyDescent="0.25"/>
    <row r="93" spans="10:14" x14ac:dyDescent="0.25"/>
    <row r="94" spans="10:14" x14ac:dyDescent="0.25"/>
    <row r="95" spans="10:14" x14ac:dyDescent="0.25"/>
    <row r="96" spans="10:14" x14ac:dyDescent="0.25"/>
    <row r="97" spans="10:14" x14ac:dyDescent="0.25"/>
    <row r="98" spans="10:14" x14ac:dyDescent="0.25"/>
    <row r="99" spans="10:14" x14ac:dyDescent="0.25"/>
    <row r="100" spans="10:14" x14ac:dyDescent="0.25"/>
    <row r="101" spans="10:14" x14ac:dyDescent="0.25"/>
    <row r="102" spans="10:14" x14ac:dyDescent="0.25"/>
    <row r="103" spans="10:14" x14ac:dyDescent="0.25"/>
    <row r="104" spans="10:14" x14ac:dyDescent="0.25"/>
    <row r="105" spans="10:14" x14ac:dyDescent="0.25"/>
    <row r="106" spans="10:14" x14ac:dyDescent="0.25"/>
    <row r="107" spans="10:14" x14ac:dyDescent="0.25"/>
    <row r="108" spans="10:14" x14ac:dyDescent="0.25"/>
    <row r="109" spans="10:14" x14ac:dyDescent="0.25"/>
    <row r="110" spans="10:14" x14ac:dyDescent="0.25"/>
    <row r="111" spans="10:14" x14ac:dyDescent="0.25"/>
    <row r="112" spans="10:14" x14ac:dyDescent="0.25"/>
    <row r="113" spans="10:14" x14ac:dyDescent="0.25"/>
    <row r="114" spans="10:14" x14ac:dyDescent="0.25"/>
    <row r="115" spans="10:14" x14ac:dyDescent="0.25"/>
    <row r="116" spans="10:14" x14ac:dyDescent="0.25"/>
    <row r="117" spans="10:14" x14ac:dyDescent="0.25"/>
    <row r="118" spans="10:14" x14ac:dyDescent="0.25"/>
    <row r="119" spans="10:14" x14ac:dyDescent="0.25"/>
    <row r="120" spans="10:14" x14ac:dyDescent="0.25"/>
    <row r="121" spans="10:14" x14ac:dyDescent="0.25"/>
    <row r="122" spans="10:14" x14ac:dyDescent="0.25"/>
    <row r="123" spans="10:14" x14ac:dyDescent="0.25"/>
    <row r="124" spans="10:14" x14ac:dyDescent="0.25"/>
    <row r="125" spans="10:14" x14ac:dyDescent="0.25"/>
    <row r="126" spans="10:14" x14ac:dyDescent="0.25"/>
    <row r="127" spans="10:14" x14ac:dyDescent="0.25"/>
    <row r="128" spans="10:14" x14ac:dyDescent="0.25"/>
    <row r="129" spans="10:14" x14ac:dyDescent="0.25"/>
    <row r="130" spans="10:14" x14ac:dyDescent="0.25"/>
    <row r="131" spans="10:14" x14ac:dyDescent="0.25"/>
    <row r="132" spans="10:14" x14ac:dyDescent="0.25"/>
    <row r="133" spans="10:14" x14ac:dyDescent="0.25"/>
    <row r="134" spans="10:14" x14ac:dyDescent="0.25"/>
    <row r="135" spans="10:14" x14ac:dyDescent="0.25"/>
    <row r="136" spans="10:14" x14ac:dyDescent="0.25"/>
    <row r="137" spans="10:14" x14ac:dyDescent="0.25"/>
    <row r="138" spans="10:14" x14ac:dyDescent="0.25"/>
    <row r="139" spans="10:14" x14ac:dyDescent="0.25"/>
    <row r="140" spans="10:14" x14ac:dyDescent="0.25"/>
    <row r="141" spans="10:14" x14ac:dyDescent="0.25"/>
    <row r="142" spans="10:14" x14ac:dyDescent="0.25"/>
    <row r="143" spans="10:14" x14ac:dyDescent="0.25"/>
    <row r="144" spans="10:14" x14ac:dyDescent="0.25"/>
    <row r="145" spans="10:14" x14ac:dyDescent="0.25"/>
    <row r="146" spans="10:14" x14ac:dyDescent="0.25"/>
    <row r="147" spans="10:14" x14ac:dyDescent="0.25"/>
    <row r="148" spans="10:14" x14ac:dyDescent="0.25"/>
    <row r="149" spans="10:14" x14ac:dyDescent="0.25"/>
    <row r="150" spans="10:14" x14ac:dyDescent="0.25"/>
    <row r="151" spans="10:14" x14ac:dyDescent="0.25"/>
    <row r="152" spans="10:14" x14ac:dyDescent="0.25"/>
    <row r="153" spans="10:14" x14ac:dyDescent="0.25"/>
    <row r="154" spans="10:14" x14ac:dyDescent="0.25"/>
    <row r="155" spans="10:14" x14ac:dyDescent="0.25"/>
    <row r="156" spans="10:14" x14ac:dyDescent="0.25"/>
    <row r="157" spans="10:14" x14ac:dyDescent="0.25"/>
    <row r="158" spans="10:14" x14ac:dyDescent="0.25"/>
    <row r="159" spans="10:14" x14ac:dyDescent="0.25"/>
    <row r="160" spans="10:14" x14ac:dyDescent="0.25"/>
    <row r="161" spans="10:14" x14ac:dyDescent="0.25"/>
    <row r="162" spans="10:14" x14ac:dyDescent="0.25"/>
    <row r="163" spans="10:14" x14ac:dyDescent="0.25"/>
    <row r="164" spans="10:14" x14ac:dyDescent="0.25"/>
    <row r="165" spans="10:14" x14ac:dyDescent="0.25"/>
    <row r="166" spans="10:14" x14ac:dyDescent="0.25"/>
    <row r="167" spans="10:14" x14ac:dyDescent="0.25"/>
    <row r="168" spans="10:14" x14ac:dyDescent="0.25"/>
    <row r="169" spans="10:14" x14ac:dyDescent="0.25"/>
    <row r="170" spans="10:14" x14ac:dyDescent="0.25"/>
    <row r="171" spans="10:14" x14ac:dyDescent="0.25"/>
    <row r="172" spans="10:14" x14ac:dyDescent="0.25"/>
    <row r="173" spans="10:14" x14ac:dyDescent="0.25"/>
    <row r="174" spans="10:14" x14ac:dyDescent="0.25"/>
    <row r="175" spans="10:14" x14ac:dyDescent="0.25"/>
    <row r="176" spans="10:14" x14ac:dyDescent="0.25"/>
    <row r="177" spans="10:14" x14ac:dyDescent="0.25"/>
    <row r="178" spans="10:14" x14ac:dyDescent="0.25"/>
    <row r="179" spans="10:14" x14ac:dyDescent="0.25"/>
    <row r="180" spans="10:14" x14ac:dyDescent="0.25"/>
    <row r="181" spans="10:14" x14ac:dyDescent="0.25"/>
    <row r="182" spans="10:14" x14ac:dyDescent="0.25"/>
    <row r="183" spans="10:14" x14ac:dyDescent="0.25"/>
    <row r="184" spans="10:14" x14ac:dyDescent="0.25"/>
    <row r="185" spans="10:14" x14ac:dyDescent="0.25"/>
    <row r="186" spans="10:14" x14ac:dyDescent="0.25"/>
    <row r="187" spans="10:14" x14ac:dyDescent="0.25"/>
    <row r="188" spans="10:14" x14ac:dyDescent="0.25"/>
    <row r="189" spans="10:14" x14ac:dyDescent="0.25"/>
    <row r="190" spans="10:14" x14ac:dyDescent="0.25"/>
    <row r="191" spans="10:14" x14ac:dyDescent="0.25"/>
    <row r="192" spans="10:14" x14ac:dyDescent="0.25"/>
    <row r="193" spans="10:14" x14ac:dyDescent="0.25"/>
    <row r="194" spans="10:14" x14ac:dyDescent="0.25"/>
    <row r="195" spans="10:14" x14ac:dyDescent="0.25"/>
    <row r="196" spans="10:14" x14ac:dyDescent="0.25"/>
    <row r="197" spans="10:14" x14ac:dyDescent="0.25"/>
    <row r="198" spans="10:14" x14ac:dyDescent="0.25"/>
    <row r="199" spans="10:14" x14ac:dyDescent="0.25"/>
    <row r="200" spans="10:14" x14ac:dyDescent="0.25"/>
    <row r="201" spans="10:14" x14ac:dyDescent="0.25"/>
    <row r="202" spans="10:14" x14ac:dyDescent="0.25"/>
    <row r="203" spans="10:14" x14ac:dyDescent="0.25"/>
    <row r="204" spans="10:14" x14ac:dyDescent="0.25"/>
    <row r="205" spans="10:14" x14ac:dyDescent="0.25"/>
    <row r="206" spans="10:14" x14ac:dyDescent="0.25"/>
    <row r="207" spans="10:14" x14ac:dyDescent="0.25"/>
    <row r="208" spans="10:14" x14ac:dyDescent="0.25"/>
    <row r="209" spans="10:14" x14ac:dyDescent="0.25"/>
    <row r="210" spans="10:14" x14ac:dyDescent="0.25"/>
    <row r="211" spans="10:14" x14ac:dyDescent="0.25"/>
    <row r="212" spans="10:14" x14ac:dyDescent="0.25"/>
    <row r="213" spans="10:14" x14ac:dyDescent="0.25"/>
    <row r="214" spans="10:14" x14ac:dyDescent="0.25"/>
    <row r="215" spans="10:14" x14ac:dyDescent="0.25"/>
    <row r="216" spans="10:14" x14ac:dyDescent="0.25"/>
    <row r="217" spans="10:14" x14ac:dyDescent="0.25"/>
    <row r="218" spans="10:14" x14ac:dyDescent="0.25"/>
    <row r="219" spans="10:14" x14ac:dyDescent="0.25"/>
    <row r="220" spans="10:14" x14ac:dyDescent="0.25"/>
    <row r="221" spans="10:14" x14ac:dyDescent="0.25"/>
    <row r="222" spans="10:14" x14ac:dyDescent="0.25"/>
    <row r="223" spans="10:14" x14ac:dyDescent="0.25"/>
    <row r="224" spans="10:14" x14ac:dyDescent="0.25"/>
    <row r="225" spans="10:14" x14ac:dyDescent="0.25"/>
    <row r="226" spans="10:14" x14ac:dyDescent="0.25"/>
    <row r="227" spans="10:14" x14ac:dyDescent="0.25"/>
    <row r="228" spans="10:14" x14ac:dyDescent="0.25"/>
    <row r="229" spans="10:14" x14ac:dyDescent="0.25"/>
    <row r="230" spans="10:14" x14ac:dyDescent="0.25"/>
    <row r="231" spans="10:14" x14ac:dyDescent="0.25"/>
    <row r="232" spans="10:14" x14ac:dyDescent="0.25"/>
    <row r="233" spans="10:14" x14ac:dyDescent="0.25"/>
    <row r="234" spans="10:14" x14ac:dyDescent="0.25"/>
    <row r="235" spans="10:14" x14ac:dyDescent="0.25"/>
    <row r="236" spans="10:14" x14ac:dyDescent="0.25"/>
    <row r="237" spans="10:14" x14ac:dyDescent="0.25"/>
    <row r="238" spans="10:14" x14ac:dyDescent="0.25"/>
    <row r="239" spans="10:14" x14ac:dyDescent="0.25"/>
    <row r="240" spans="10:14" x14ac:dyDescent="0.25"/>
    <row r="241" spans="10:14" x14ac:dyDescent="0.25"/>
    <row r="242" spans="10:14" x14ac:dyDescent="0.25"/>
    <row r="243" spans="10:14" x14ac:dyDescent="0.25"/>
    <row r="244" spans="10:14" x14ac:dyDescent="0.25"/>
    <row r="245" spans="10:14" x14ac:dyDescent="0.25"/>
    <row r="246" spans="10:14" x14ac:dyDescent="0.25"/>
    <row r="247" spans="10:14" x14ac:dyDescent="0.25"/>
    <row r="248" spans="10:14" x14ac:dyDescent="0.25"/>
    <row r="249" spans="10:14" x14ac:dyDescent="0.25"/>
    <row r="250" spans="10:14" x14ac:dyDescent="0.25"/>
    <row r="251" spans="10:14" x14ac:dyDescent="0.25"/>
    <row r="252" spans="10:14" x14ac:dyDescent="0.25"/>
    <row r="253" spans="10:14" x14ac:dyDescent="0.25"/>
    <row r="254" spans="10:14" x14ac:dyDescent="0.25"/>
    <row r="255" spans="10:14" x14ac:dyDescent="0.25"/>
    <row r="256" spans="10:14" x14ac:dyDescent="0.25"/>
    <row r="257" spans="10:14" x14ac:dyDescent="0.25"/>
    <row r="258" spans="10:14" x14ac:dyDescent="0.25"/>
    <row r="259" spans="10:14" x14ac:dyDescent="0.25"/>
    <row r="260" spans="10:14" x14ac:dyDescent="0.25"/>
    <row r="261" spans="10:14" x14ac:dyDescent="0.25"/>
    <row r="262" spans="10:14" x14ac:dyDescent="0.25"/>
    <row r="263" spans="10:14" x14ac:dyDescent="0.25"/>
    <row r="264" spans="10:14" x14ac:dyDescent="0.25"/>
    <row r="265" spans="10:14" x14ac:dyDescent="0.25"/>
    <row r="266" spans="10:14" x14ac:dyDescent="0.25"/>
    <row r="267" spans="10:14" x14ac:dyDescent="0.25"/>
    <row r="268" spans="10:14" x14ac:dyDescent="0.25"/>
    <row r="269" spans="10:14" x14ac:dyDescent="0.25"/>
    <row r="270" spans="10:14" x14ac:dyDescent="0.25"/>
    <row r="271" spans="10:14" x14ac:dyDescent="0.25"/>
    <row r="272" spans="10:14" x14ac:dyDescent="0.25"/>
    <row r="273" spans="10:14" x14ac:dyDescent="0.25"/>
    <row r="274" spans="10:14" x14ac:dyDescent="0.25"/>
    <row r="275" spans="10:14" x14ac:dyDescent="0.25"/>
    <row r="276" spans="10:14" x14ac:dyDescent="0.25"/>
    <row r="277" spans="10:14" x14ac:dyDescent="0.25"/>
    <row r="278" spans="10:14" x14ac:dyDescent="0.25"/>
    <row r="279" spans="10:14" x14ac:dyDescent="0.25"/>
    <row r="280" spans="10:14" x14ac:dyDescent="0.25"/>
    <row r="281" spans="10:14" x14ac:dyDescent="0.25"/>
    <row r="282" spans="10:14" x14ac:dyDescent="0.25"/>
    <row r="283" spans="10:14" x14ac:dyDescent="0.25"/>
    <row r="284" spans="10:14" x14ac:dyDescent="0.25"/>
    <row r="285" spans="10:14" x14ac:dyDescent="0.25"/>
    <row r="286" spans="10:14" x14ac:dyDescent="0.25"/>
    <row r="287" spans="10:14" x14ac:dyDescent="0.25"/>
    <row r="288" spans="10:14" x14ac:dyDescent="0.25"/>
    <row r="289" spans="10:14" x14ac:dyDescent="0.25"/>
    <row r="290" spans="10:14" x14ac:dyDescent="0.25"/>
    <row r="291" spans="10:14" x14ac:dyDescent="0.25"/>
    <row r="292" spans="10:14" x14ac:dyDescent="0.25"/>
    <row r="293" spans="10:14" x14ac:dyDescent="0.25"/>
    <row r="294" spans="10:14" x14ac:dyDescent="0.25"/>
    <row r="295" spans="10:14" x14ac:dyDescent="0.25"/>
    <row r="296" spans="10:14" x14ac:dyDescent="0.25"/>
    <row r="297" spans="10:14" x14ac:dyDescent="0.25"/>
    <row r="298" spans="10:14" x14ac:dyDescent="0.25"/>
    <row r="299" spans="10:14" x14ac:dyDescent="0.25"/>
    <row r="300" spans="10:14" x14ac:dyDescent="0.25"/>
  </sheetData>
  <autoFilter ref="A4:P78"/>
  <mergeCells count="3">
    <mergeCell ref="A1:P1"/>
    <mergeCell ref="A2:P2"/>
    <mergeCell ref="A3:F3"/>
  </mergeCells>
  <dataValidations count="6">
    <dataValidation type="list" sqref="C10:C78">
      <formula1>"Onboarding,Tenant,Platform,Semua"</formula1>
    </dataValidation>
    <dataValidation type="list" sqref="C5:C78">
      <formula1>"Onboarding,Tenant,Platform,Semua"</formula1>
    </dataValidation>
    <dataValidation type="list" allowBlank="1" sqref="J10:J300">
      <formula1>"Tinggi,Sedang,Rendah"</formula1>
    </dataValidation>
    <dataValidation type="list" allowBlank="1" sqref="J5:J300">
      <formula1>"Tinggi,Sedang,Rendah"</formula1>
    </dataValidation>
    <dataValidation type="list" allowBlank="1" sqref="N10:N300">
      <formula1>"Usulan,Prototipe siap,Perlu konfirmasi,Disetujui,Dikerjakan developer,Selesai,Ditunda"</formula1>
    </dataValidation>
    <dataValidation type="list" allowBlank="1" sqref="N5:N300">
      <formula1>"Usulan,Prototipe siap,Perlu konfirmasi,Disetujui,Dikerjakan developer,Selesai,Ditunda"</formula1>
    </dataValidation>
  </dataValidations>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0"/>
  <sheetViews>
    <sheetView workbookViewId="0">
      <pane xSplit="2" ySplit="4" topLeftCell="C5" activePane="bottomRight" state="frozen"/>
      <selection pane="bottomRight"/>
    </sheetView>
  </sheetViews>
  <sheetFormatPr defaultRowHeight="15" outlineLevelRow="0" outlineLevelCol="0" x14ac:dyDescent="55"/>
  <cols>
    <col min="1" max="1" width="5" customWidth="1"/>
    <col min="2" max="2" width="13" customWidth="1"/>
    <col min="3" max="3" width="24" customWidth="1"/>
    <col min="4" max="4" width="30" customWidth="1"/>
    <col min="5" max="5" width="45" customWidth="1"/>
    <col min="6" max="6" width="55" customWidth="1"/>
    <col min="7" max="7" width="10" customWidth="1"/>
    <col min="8" max="8" width="28" customWidth="1"/>
    <col min="9" max="9" width="40" customWidth="1"/>
    <col min="10" max="10" width="45" customWidth="1"/>
    <col min="11" max="11" width="16" customWidth="1"/>
    <col min="12" max="12" width="32" customWidth="1"/>
    <col min="13" max="13" width="12" customWidth="1"/>
  </cols>
  <sheetData>
    <row r="1" ht="22" customHeight="1" spans="1:13" x14ac:dyDescent="0.25">
      <c r="A1" s="1" t="s">
        <v>1091</v>
      </c>
      <c r="B1" s="1"/>
      <c r="C1" s="1"/>
      <c r="D1" s="1"/>
      <c r="E1" s="1"/>
      <c r="F1" s="1"/>
      <c r="G1" s="1"/>
      <c r="H1" s="1"/>
      <c r="I1" s="1"/>
      <c r="J1" s="1"/>
      <c r="K1" s="1"/>
      <c r="L1" s="1"/>
      <c r="M1" s="1"/>
    </row>
    <row r="2" spans="1:13" x14ac:dyDescent="0.25">
      <c r="A2" s="2" t="s">
        <v>1092</v>
      </c>
      <c r="B2" s="2"/>
      <c r="C2" s="2"/>
      <c r="D2" s="2"/>
      <c r="E2" s="2"/>
      <c r="F2" s="2"/>
      <c r="G2" s="2"/>
      <c r="H2" s="2"/>
      <c r="I2" s="2"/>
      <c r="J2" s="2"/>
      <c r="K2" s="2"/>
      <c r="L2" s="2"/>
      <c r="M2" s="2"/>
    </row>
    <row r="3" ht="18" customHeight="1" spans="1:6" x14ac:dyDescent="0.25">
      <c r="A3" s="9" t="str">
        <f>HYPERLINK("https://he-eppat.vercel.app/index.html#tenant","Situs prototipe: https://he-eppat.vercel.app/  ·  Buka daftar prototipe kelompok ini")</f>
        <v>Situs prototipe: https://he-eppat.vercel.app/  ·  Buka daftar prototipe kelompok ini</v>
      </c>
      <c r="B3" s="9"/>
      <c r="C3" s="9"/>
      <c r="D3" s="9"/>
      <c r="E3" s="9"/>
      <c r="F3" s="9"/>
    </row>
    <row r="4" ht="30" customHeight="1" spans="1:13" x14ac:dyDescent="0.25">
      <c r="A4" s="4" t="s">
        <v>3</v>
      </c>
      <c r="B4" s="4" t="s">
        <v>517</v>
      </c>
      <c r="C4" s="4" t="s">
        <v>1093</v>
      </c>
      <c r="D4" s="4" t="s">
        <v>1094</v>
      </c>
      <c r="E4" s="4" t="s">
        <v>521</v>
      </c>
      <c r="F4" s="4" t="s">
        <v>1095</v>
      </c>
      <c r="G4" s="4" t="s">
        <v>525</v>
      </c>
      <c r="H4" s="4" t="s">
        <v>526</v>
      </c>
      <c r="I4" s="4" t="s">
        <v>8</v>
      </c>
      <c r="J4" s="4" t="s">
        <v>527</v>
      </c>
      <c r="K4" s="4" t="s">
        <v>528</v>
      </c>
      <c r="L4" s="4" t="s">
        <v>529</v>
      </c>
      <c r="M4" s="4" t="s">
        <v>530</v>
      </c>
    </row>
    <row r="5" spans="1:13" x14ac:dyDescent="0.25">
      <c r="A5" s="10">
        <v>1</v>
      </c>
      <c r="B5" s="11" t="s">
        <v>1096</v>
      </c>
      <c r="C5" s="10" t="s">
        <v>1097</v>
      </c>
      <c r="D5" s="10" t="s">
        <v>1098</v>
      </c>
      <c r="E5" s="10" t="s">
        <v>1099</v>
      </c>
      <c r="F5" s="10" t="s">
        <v>1100</v>
      </c>
      <c r="G5" s="10" t="s">
        <v>567</v>
      </c>
      <c r="H5" s="10" t="s">
        <v>1101</v>
      </c>
      <c r="I5" s="10" t="str">
        <f>HYPERLINK("https://he-eppat.vercel.app/Backlog-IDDS-TN-MASUK-Prototype.html","https://he-eppat.vercel.app/Backlog-IDDS-TN-MASUK-Prototype.html")</f>
        <v>https://he-eppat.vercel.app/Backlog-IDDS-TN-MASUK-Prototype.html</v>
      </c>
      <c r="J5" s="10" t="s">
        <v>1102</v>
      </c>
      <c r="K5" s="12" t="s">
        <v>541</v>
      </c>
      <c r="L5" s="12" t="s">
        <v>27</v>
      </c>
      <c r="M5" s="13">
        <v>46321</v>
      </c>
    </row>
    <row r="6" spans="1:13" x14ac:dyDescent="0.25">
      <c r="A6" s="14">
        <v>2</v>
      </c>
      <c r="B6" s="15" t="s">
        <v>130</v>
      </c>
      <c r="C6" s="14" t="s">
        <v>1097</v>
      </c>
      <c r="D6" s="14" t="s">
        <v>1103</v>
      </c>
      <c r="E6" s="14" t="s">
        <v>1104</v>
      </c>
      <c r="F6" s="14" t="s">
        <v>1105</v>
      </c>
      <c r="G6" s="14" t="s">
        <v>567</v>
      </c>
      <c r="H6" s="14" t="s">
        <v>1101</v>
      </c>
      <c r="I6" s="14" t="str">
        <f>HYPERLINK("https://he-eppat.vercel.app/Backlog-IDDS-TN-MASUK-Prototype.html","https://he-eppat.vercel.app/Backlog-IDDS-TN-MASUK-Prototype.html")</f>
        <v>https://he-eppat.vercel.app/Backlog-IDDS-TN-MASUK-Prototype.html</v>
      </c>
      <c r="J6" s="14" t="s">
        <v>1106</v>
      </c>
      <c r="K6" s="12" t="s">
        <v>541</v>
      </c>
      <c r="L6" s="12" t="s">
        <v>27</v>
      </c>
      <c r="M6" s="16">
        <v>46321</v>
      </c>
    </row>
    <row r="7" spans="1:13" x14ac:dyDescent="0.25">
      <c r="A7" s="10">
        <v>3</v>
      </c>
      <c r="B7" s="11" t="s">
        <v>1107</v>
      </c>
      <c r="C7" s="10" t="s">
        <v>1097</v>
      </c>
      <c r="D7" s="10" t="s">
        <v>1108</v>
      </c>
      <c r="E7" s="10" t="s">
        <v>1109</v>
      </c>
      <c r="F7" s="10" t="s">
        <v>1110</v>
      </c>
      <c r="G7" s="10" t="s">
        <v>641</v>
      </c>
      <c r="H7" s="10" t="s">
        <v>1101</v>
      </c>
      <c r="I7" s="10" t="str">
        <f>HYPERLINK("https://he-eppat.vercel.app/Backlog-IDDS-TN-MASUK-Prototype.html","https://he-eppat.vercel.app/Backlog-IDDS-TN-MASUK-Prototype.html")</f>
        <v>https://he-eppat.vercel.app/Backlog-IDDS-TN-MASUK-Prototype.html</v>
      </c>
      <c r="J7" s="10" t="s">
        <v>1111</v>
      </c>
      <c r="K7" s="12" t="s">
        <v>541</v>
      </c>
      <c r="L7" s="12" t="s">
        <v>1112</v>
      </c>
      <c r="M7" s="13">
        <v>46321</v>
      </c>
    </row>
    <row r="8" spans="1:13" x14ac:dyDescent="0.25">
      <c r="A8" s="14">
        <v>4</v>
      </c>
      <c r="B8" s="15" t="s">
        <v>1113</v>
      </c>
      <c r="C8" s="14" t="s">
        <v>1097</v>
      </c>
      <c r="D8" s="14" t="s">
        <v>1114</v>
      </c>
      <c r="E8" s="14" t="s">
        <v>1115</v>
      </c>
      <c r="F8" s="14" t="s">
        <v>1116</v>
      </c>
      <c r="G8" s="14" t="s">
        <v>641</v>
      </c>
      <c r="H8" s="14" t="s">
        <v>1101</v>
      </c>
      <c r="I8" s="14" t="str">
        <f>HYPERLINK("https://he-eppat.vercel.app/Backlog-IDDS-TN-MASUK-Prototype.html","https://he-eppat.vercel.app/Backlog-IDDS-TN-MASUK-Prototype.html")</f>
        <v>https://he-eppat.vercel.app/Backlog-IDDS-TN-MASUK-Prototype.html</v>
      </c>
      <c r="J8" s="14" t="s">
        <v>1117</v>
      </c>
      <c r="K8" s="12" t="s">
        <v>541</v>
      </c>
      <c r="L8" s="12" t="s">
        <v>27</v>
      </c>
      <c r="M8" s="16">
        <v>46321</v>
      </c>
    </row>
    <row r="9" spans="1:13" x14ac:dyDescent="0.25">
      <c r="A9" s="10">
        <v>5</v>
      </c>
      <c r="B9" s="11" t="s">
        <v>1118</v>
      </c>
      <c r="C9" s="10" t="s">
        <v>1097</v>
      </c>
      <c r="D9" s="10" t="s">
        <v>1119</v>
      </c>
      <c r="E9" s="10" t="s">
        <v>1120</v>
      </c>
      <c r="F9" s="10" t="s">
        <v>1121</v>
      </c>
      <c r="G9" s="10" t="s">
        <v>567</v>
      </c>
      <c r="H9" s="10" t="s">
        <v>1101</v>
      </c>
      <c r="I9" s="10" t="str">
        <f>HYPERLINK("https://he-eppat.vercel.app/Backlog-IDDS-TN-MASUK-Prototype.html","https://he-eppat.vercel.app/Backlog-IDDS-TN-MASUK-Prototype.html")</f>
        <v>https://he-eppat.vercel.app/Backlog-IDDS-TN-MASUK-Prototype.html</v>
      </c>
      <c r="J9" s="10" t="s">
        <v>1122</v>
      </c>
      <c r="K9" s="12" t="s">
        <v>541</v>
      </c>
      <c r="L9" s="12" t="s">
        <v>27</v>
      </c>
      <c r="M9" s="13">
        <v>46321</v>
      </c>
    </row>
    <row r="10" spans="1:13" x14ac:dyDescent="0.25">
      <c r="A10" s="14">
        <v>6</v>
      </c>
      <c r="B10" s="15" t="s">
        <v>347</v>
      </c>
      <c r="C10" s="14" t="s">
        <v>1097</v>
      </c>
      <c r="D10" s="14" t="s">
        <v>1123</v>
      </c>
      <c r="E10" s="14" t="s">
        <v>1124</v>
      </c>
      <c r="F10" s="14" t="s">
        <v>1125</v>
      </c>
      <c r="G10" s="14" t="s">
        <v>641</v>
      </c>
      <c r="H10" s="14" t="s">
        <v>1101</v>
      </c>
      <c r="I10" s="14" t="str">
        <f>HYPERLINK("https://he-eppat.vercel.app/Backlog-IDDS-TN-MASUK-Prototype.html","https://he-eppat.vercel.app/Backlog-IDDS-TN-MASUK-Prototype.html")</f>
        <v>https://he-eppat.vercel.app/Backlog-IDDS-TN-MASUK-Prototype.html</v>
      </c>
      <c r="J10" s="14" t="s">
        <v>1126</v>
      </c>
      <c r="K10" s="12" t="s">
        <v>541</v>
      </c>
      <c r="L10" s="12" t="s">
        <v>1127</v>
      </c>
      <c r="M10" s="16">
        <v>46321</v>
      </c>
    </row>
    <row r="11" spans="1:13" x14ac:dyDescent="0.25">
      <c r="A11" s="10">
        <v>7</v>
      </c>
      <c r="B11" s="11" t="s">
        <v>1128</v>
      </c>
      <c r="C11" s="10" t="s">
        <v>1097</v>
      </c>
      <c r="D11" s="10" t="s">
        <v>1129</v>
      </c>
      <c r="E11" s="10" t="s">
        <v>1130</v>
      </c>
      <c r="F11" s="10" t="s">
        <v>1131</v>
      </c>
      <c r="G11" s="10" t="s">
        <v>567</v>
      </c>
      <c r="H11" s="10" t="s">
        <v>1101</v>
      </c>
      <c r="I11" s="10" t="str">
        <f>HYPERLINK("https://he-eppat.vercel.app/Backlog-IDDS-TN-MASUK-Prototype.html","https://he-eppat.vercel.app/Backlog-IDDS-TN-MASUK-Prototype.html")</f>
        <v>https://he-eppat.vercel.app/Backlog-IDDS-TN-MASUK-Prototype.html</v>
      </c>
      <c r="J11" s="10" t="s">
        <v>1132</v>
      </c>
      <c r="K11" s="12" t="s">
        <v>541</v>
      </c>
      <c r="L11" s="12" t="s">
        <v>1133</v>
      </c>
      <c r="M11" s="13">
        <v>46321</v>
      </c>
    </row>
    <row r="12" spans="1:13" x14ac:dyDescent="0.25">
      <c r="A12" s="14">
        <v>8</v>
      </c>
      <c r="B12" s="15" t="s">
        <v>1134</v>
      </c>
      <c r="C12" s="14" t="s">
        <v>1135</v>
      </c>
      <c r="D12" s="14" t="s">
        <v>1136</v>
      </c>
      <c r="E12" s="14" t="s">
        <v>1137</v>
      </c>
      <c r="F12" s="14" t="s">
        <v>1138</v>
      </c>
      <c r="G12" s="14" t="s">
        <v>641</v>
      </c>
      <c r="H12" s="14" t="s">
        <v>1139</v>
      </c>
      <c r="I12" s="14" t="str">
        <f>HYPERLINK("https://he-eppat.vercel.app/Backlog-IDDS-TN-SYSTEM-Prototype.html","https://he-eppat.vercel.app/Backlog-IDDS-TN-SYSTEM-Prototype.html")</f>
        <v>https://he-eppat.vercel.app/Backlog-IDDS-TN-SYSTEM-Prototype.html</v>
      </c>
      <c r="J12" s="14" t="s">
        <v>1140</v>
      </c>
      <c r="K12" s="12" t="s">
        <v>541</v>
      </c>
      <c r="L12" s="12" t="s">
        <v>27</v>
      </c>
      <c r="M12" s="16">
        <v>46321</v>
      </c>
    </row>
    <row r="13" spans="1:13" x14ac:dyDescent="0.25">
      <c r="A13" s="10">
        <v>9</v>
      </c>
      <c r="B13" s="11" t="s">
        <v>1141</v>
      </c>
      <c r="C13" s="10" t="s">
        <v>1135</v>
      </c>
      <c r="D13" s="10" t="s">
        <v>1142</v>
      </c>
      <c r="E13" s="10" t="s">
        <v>1143</v>
      </c>
      <c r="F13" s="10" t="s">
        <v>1144</v>
      </c>
      <c r="G13" s="10" t="s">
        <v>641</v>
      </c>
      <c r="H13" s="10" t="s">
        <v>1139</v>
      </c>
      <c r="I13" s="10" t="str">
        <f>HYPERLINK("https://he-eppat.vercel.app/Backlog-IDDS-TN-SYSTEM-Prototype.html","https://he-eppat.vercel.app/Backlog-IDDS-TN-SYSTEM-Prototype.html")</f>
        <v>https://he-eppat.vercel.app/Backlog-IDDS-TN-SYSTEM-Prototype.html</v>
      </c>
      <c r="J13" s="10" t="s">
        <v>1145</v>
      </c>
      <c r="K13" s="12" t="s">
        <v>541</v>
      </c>
      <c r="L13" s="12" t="s">
        <v>27</v>
      </c>
      <c r="M13" s="13">
        <v>46321</v>
      </c>
    </row>
    <row r="14" spans="1:13" x14ac:dyDescent="0.25">
      <c r="A14" s="14">
        <v>10</v>
      </c>
      <c r="B14" s="15" t="s">
        <v>1146</v>
      </c>
      <c r="C14" s="14" t="s">
        <v>1147</v>
      </c>
      <c r="D14" s="14" t="s">
        <v>1148</v>
      </c>
      <c r="E14" s="14" t="s">
        <v>1149</v>
      </c>
      <c r="F14" s="14" t="s">
        <v>1150</v>
      </c>
      <c r="G14" s="14" t="s">
        <v>567</v>
      </c>
      <c r="H14" s="14" t="s">
        <v>1151</v>
      </c>
      <c r="I14" s="14" t="str">
        <f>HYPERLINK("https://he-eppat.vercel.app/Backlog-IDDS-TN-SYSTEM-Prototype.html","https://he-eppat.vercel.app/Backlog-IDDS-TN-SYSTEM-Prototype.html")</f>
        <v>https://he-eppat.vercel.app/Backlog-IDDS-TN-SYSTEM-Prototype.html</v>
      </c>
      <c r="J14" s="14" t="s">
        <v>1152</v>
      </c>
      <c r="K14" s="12" t="s">
        <v>541</v>
      </c>
      <c r="L14" s="12" t="s">
        <v>27</v>
      </c>
      <c r="M14" s="16">
        <v>46321</v>
      </c>
    </row>
    <row r="15" spans="1:13" x14ac:dyDescent="0.25">
      <c r="A15" s="10">
        <v>11</v>
      </c>
      <c r="B15" s="11" t="s">
        <v>1153</v>
      </c>
      <c r="C15" s="10" t="s">
        <v>1147</v>
      </c>
      <c r="D15" s="10" t="s">
        <v>1154</v>
      </c>
      <c r="E15" s="10" t="s">
        <v>1155</v>
      </c>
      <c r="F15" s="10" t="s">
        <v>1156</v>
      </c>
      <c r="G15" s="10" t="s">
        <v>641</v>
      </c>
      <c r="H15" s="10" t="s">
        <v>1151</v>
      </c>
      <c r="I15" s="10" t="str">
        <f>HYPERLINK("https://he-eppat.vercel.app/Backlog-IDDS-TN-SYSTEM-Prototype.html","https://he-eppat.vercel.app/Backlog-IDDS-TN-SYSTEM-Prototype.html")</f>
        <v>https://he-eppat.vercel.app/Backlog-IDDS-TN-SYSTEM-Prototype.html</v>
      </c>
      <c r="J15" s="10" t="s">
        <v>1157</v>
      </c>
      <c r="K15" s="12" t="s">
        <v>541</v>
      </c>
      <c r="L15" s="12" t="s">
        <v>27</v>
      </c>
      <c r="M15" s="13">
        <v>46321</v>
      </c>
    </row>
    <row r="16" spans="1:13" x14ac:dyDescent="0.25">
      <c r="A16" s="14">
        <v>12</v>
      </c>
      <c r="B16" s="15" t="s">
        <v>1158</v>
      </c>
      <c r="C16" s="14" t="s">
        <v>1147</v>
      </c>
      <c r="D16" s="14" t="s">
        <v>1159</v>
      </c>
      <c r="E16" s="14" t="s">
        <v>1160</v>
      </c>
      <c r="F16" s="14" t="s">
        <v>1161</v>
      </c>
      <c r="G16" s="14" t="s">
        <v>567</v>
      </c>
      <c r="H16" s="14" t="s">
        <v>1151</v>
      </c>
      <c r="I16" s="14" t="str">
        <f>HYPERLINK("https://he-eppat.vercel.app/Backlog-IDDS-TN-SYSTEM-Prototype.html","https://he-eppat.vercel.app/Backlog-IDDS-TN-SYSTEM-Prototype.html")</f>
        <v>https://he-eppat.vercel.app/Backlog-IDDS-TN-SYSTEM-Prototype.html</v>
      </c>
      <c r="J16" s="14" t="s">
        <v>1162</v>
      </c>
      <c r="K16" s="12" t="s">
        <v>541</v>
      </c>
      <c r="L16" s="12" t="s">
        <v>1163</v>
      </c>
      <c r="M16" s="16">
        <v>46321</v>
      </c>
    </row>
    <row r="17" spans="1:13" x14ac:dyDescent="0.25">
      <c r="A17" s="10">
        <v>13</v>
      </c>
      <c r="B17" s="11" t="s">
        <v>366</v>
      </c>
      <c r="C17" s="10" t="s">
        <v>1164</v>
      </c>
      <c r="D17" s="10" t="s">
        <v>1165</v>
      </c>
      <c r="E17" s="10" t="s">
        <v>1166</v>
      </c>
      <c r="F17" s="10" t="s">
        <v>1167</v>
      </c>
      <c r="G17" s="10" t="s">
        <v>567</v>
      </c>
      <c r="H17" s="10" t="s">
        <v>1168</v>
      </c>
      <c r="I17" s="10" t="str">
        <f>HYPERLINK("https://he-eppat.vercel.app/Backlog-IDDS-TN-SYSTEM-Prototype.html","https://he-eppat.vercel.app/Backlog-IDDS-TN-SYSTEM-Prototype.html")</f>
        <v>https://he-eppat.vercel.app/Backlog-IDDS-TN-SYSTEM-Prototype.html</v>
      </c>
      <c r="J17" s="10" t="s">
        <v>1169</v>
      </c>
      <c r="K17" s="12" t="s">
        <v>541</v>
      </c>
      <c r="L17" s="12" t="s">
        <v>27</v>
      </c>
      <c r="M17" s="13">
        <v>46321</v>
      </c>
    </row>
    <row r="18" spans="1:13" x14ac:dyDescent="0.25">
      <c r="A18" s="14">
        <v>14</v>
      </c>
      <c r="B18" s="15" t="s">
        <v>1170</v>
      </c>
      <c r="C18" s="14" t="s">
        <v>1171</v>
      </c>
      <c r="D18" s="14" t="s">
        <v>1172</v>
      </c>
      <c r="E18" s="14" t="s">
        <v>1173</v>
      </c>
      <c r="F18" s="14" t="s">
        <v>1174</v>
      </c>
      <c r="G18" s="14" t="s">
        <v>641</v>
      </c>
      <c r="H18" s="14" t="s">
        <v>1175</v>
      </c>
      <c r="I18" s="14" t="str">
        <f>HYPERLINK("https://he-eppat.vercel.app/Backlog-IDDS-TN-SYSTEM-Prototype.html","https://he-eppat.vercel.app/Backlog-IDDS-TN-SYSTEM-Prototype.html")</f>
        <v>https://he-eppat.vercel.app/Backlog-IDDS-TN-SYSTEM-Prototype.html</v>
      </c>
      <c r="J18" s="14" t="s">
        <v>1176</v>
      </c>
      <c r="K18" s="12" t="s">
        <v>541</v>
      </c>
      <c r="L18" s="12" t="s">
        <v>27</v>
      </c>
      <c r="M18" s="16">
        <v>46321</v>
      </c>
    </row>
    <row r="19" spans="1:13" x14ac:dyDescent="0.25">
      <c r="A19" s="10">
        <v>15</v>
      </c>
      <c r="B19" s="11" t="s">
        <v>1177</v>
      </c>
      <c r="C19" s="10" t="s">
        <v>1178</v>
      </c>
      <c r="D19" s="10" t="s">
        <v>1179</v>
      </c>
      <c r="E19" s="10" t="s">
        <v>1180</v>
      </c>
      <c r="F19" s="10" t="s">
        <v>1181</v>
      </c>
      <c r="G19" s="10" t="s">
        <v>567</v>
      </c>
      <c r="H19" s="10" t="s">
        <v>1182</v>
      </c>
      <c r="I19" s="10" t="str">
        <f>HYPERLINK("https://he-eppat.vercel.app/Backlog-IDDS-TN-SYSTEM-Prototype.html","https://he-eppat.vercel.app/Backlog-IDDS-TN-SYSTEM-Prototype.html")</f>
        <v>https://he-eppat.vercel.app/Backlog-IDDS-TN-SYSTEM-Prototype.html</v>
      </c>
      <c r="J19" s="10" t="s">
        <v>1183</v>
      </c>
      <c r="K19" s="12" t="s">
        <v>541</v>
      </c>
      <c r="L19" s="12" t="s">
        <v>1184</v>
      </c>
      <c r="M19" s="13">
        <v>46321</v>
      </c>
    </row>
    <row r="20" spans="1:13" x14ac:dyDescent="0.25">
      <c r="A20" s="14">
        <v>16</v>
      </c>
      <c r="B20" s="15" t="s">
        <v>81</v>
      </c>
      <c r="C20" s="14" t="s">
        <v>1178</v>
      </c>
      <c r="D20" s="14" t="s">
        <v>1185</v>
      </c>
      <c r="E20" s="14" t="s">
        <v>1186</v>
      </c>
      <c r="F20" s="14" t="s">
        <v>1187</v>
      </c>
      <c r="G20" s="14" t="s">
        <v>641</v>
      </c>
      <c r="H20" s="14" t="s">
        <v>1182</v>
      </c>
      <c r="I20" s="14" t="str">
        <f>HYPERLINK("https://he-eppat.vercel.app/Backlog-IDDS-TN-SYSTEM-Prototype.html","https://he-eppat.vercel.app/Backlog-IDDS-TN-SYSTEM-Prototype.html")</f>
        <v>https://he-eppat.vercel.app/Backlog-IDDS-TN-SYSTEM-Prototype.html</v>
      </c>
      <c r="J20" s="14" t="s">
        <v>1188</v>
      </c>
      <c r="K20" s="12" t="s">
        <v>541</v>
      </c>
      <c r="L20" s="12" t="s">
        <v>27</v>
      </c>
      <c r="M20" s="16">
        <v>46321</v>
      </c>
    </row>
    <row r="21" spans="1:13" x14ac:dyDescent="0.25">
      <c r="A21" s="10">
        <v>17</v>
      </c>
      <c r="B21" s="11" t="s">
        <v>1189</v>
      </c>
      <c r="C21" s="10" t="s">
        <v>1190</v>
      </c>
      <c r="D21" s="10" t="s">
        <v>1191</v>
      </c>
      <c r="E21" s="10" t="s">
        <v>1192</v>
      </c>
      <c r="F21" s="10" t="s">
        <v>1193</v>
      </c>
      <c r="G21" s="10" t="s">
        <v>538</v>
      </c>
      <c r="H21" s="10" t="s">
        <v>1194</v>
      </c>
      <c r="I21" s="10" t="str">
        <f>HYPERLINK("https://he-eppat.vercel.app/Backlog-IDDS-TN-CMS-Prototype.html","https://he-eppat.vercel.app/Backlog-IDDS-TN-CMS-Prototype.html")</f>
        <v>https://he-eppat.vercel.app/Backlog-IDDS-TN-CMS-Prototype.html</v>
      </c>
      <c r="J21" s="10" t="s">
        <v>1195</v>
      </c>
      <c r="K21" s="12" t="s">
        <v>541</v>
      </c>
      <c r="L21" s="12" t="s">
        <v>1196</v>
      </c>
      <c r="M21" s="13">
        <v>46321</v>
      </c>
    </row>
    <row r="22" spans="1:13" x14ac:dyDescent="0.25">
      <c r="A22" s="14">
        <v>18</v>
      </c>
      <c r="B22" s="15" t="s">
        <v>1197</v>
      </c>
      <c r="C22" s="14" t="s">
        <v>1198</v>
      </c>
      <c r="D22" s="14" t="s">
        <v>1199</v>
      </c>
      <c r="E22" s="14" t="s">
        <v>1200</v>
      </c>
      <c r="F22" s="14" t="s">
        <v>1201</v>
      </c>
      <c r="G22" s="14" t="s">
        <v>567</v>
      </c>
      <c r="H22" s="14" t="s">
        <v>1202</v>
      </c>
      <c r="I22" s="14" t="str">
        <f>HYPERLINK("https://he-eppat.vercel.app/Backlog-IDDS-TN-CMS-Prototype.html","https://he-eppat.vercel.app/Backlog-IDDS-TN-CMS-Prototype.html")</f>
        <v>https://he-eppat.vercel.app/Backlog-IDDS-TN-CMS-Prototype.html</v>
      </c>
      <c r="J22" s="14" t="s">
        <v>1203</v>
      </c>
      <c r="K22" s="12" t="s">
        <v>541</v>
      </c>
      <c r="L22" s="12" t="s">
        <v>27</v>
      </c>
      <c r="M22" s="16">
        <v>46321</v>
      </c>
    </row>
    <row r="23" spans="1:13" x14ac:dyDescent="0.25">
      <c r="A23" s="10">
        <v>19</v>
      </c>
      <c r="B23" s="11" t="s">
        <v>1204</v>
      </c>
      <c r="C23" s="10" t="s">
        <v>1205</v>
      </c>
      <c r="D23" s="10" t="s">
        <v>1206</v>
      </c>
      <c r="E23" s="10" t="s">
        <v>1207</v>
      </c>
      <c r="F23" s="10" t="s">
        <v>1208</v>
      </c>
      <c r="G23" s="10" t="s">
        <v>538</v>
      </c>
      <c r="H23" s="10" t="s">
        <v>1209</v>
      </c>
      <c r="I23" s="10" t="str">
        <f>HYPERLINK("https://he-eppat.vercel.app/Backlog-IDDS-TN-CMS-Prototype.html","https://he-eppat.vercel.app/Backlog-IDDS-TN-CMS-Prototype.html")</f>
        <v>https://he-eppat.vercel.app/Backlog-IDDS-TN-CMS-Prototype.html</v>
      </c>
      <c r="J23" s="10" t="s">
        <v>1210</v>
      </c>
      <c r="K23" s="12" t="s">
        <v>541</v>
      </c>
      <c r="L23" s="12" t="s">
        <v>27</v>
      </c>
      <c r="M23" s="13">
        <v>46321</v>
      </c>
    </row>
    <row r="24" spans="1:13" x14ac:dyDescent="0.25">
      <c r="A24" s="14">
        <v>20</v>
      </c>
      <c r="B24" s="15" t="s">
        <v>53</v>
      </c>
      <c r="C24" s="14" t="s">
        <v>1205</v>
      </c>
      <c r="D24" s="14" t="s">
        <v>1211</v>
      </c>
      <c r="E24" s="14" t="s">
        <v>1212</v>
      </c>
      <c r="F24" s="14" t="s">
        <v>1213</v>
      </c>
      <c r="G24" s="14" t="s">
        <v>567</v>
      </c>
      <c r="H24" s="14" t="s">
        <v>1209</v>
      </c>
      <c r="I24" s="14" t="str">
        <f>HYPERLINK("https://he-eppat.vercel.app/Backlog-IDDS-TN-CMS-Prototype.html","https://he-eppat.vercel.app/Backlog-IDDS-TN-CMS-Prototype.html")</f>
        <v>https://he-eppat.vercel.app/Backlog-IDDS-TN-CMS-Prototype.html</v>
      </c>
      <c r="J24" s="14" t="s">
        <v>1214</v>
      </c>
      <c r="K24" s="12" t="s">
        <v>541</v>
      </c>
      <c r="L24" s="12" t="s">
        <v>1215</v>
      </c>
      <c r="M24" s="16">
        <v>46321</v>
      </c>
    </row>
    <row r="25" spans="1:13" x14ac:dyDescent="0.25">
      <c r="A25" s="10">
        <v>21</v>
      </c>
      <c r="B25" s="11" t="s">
        <v>1216</v>
      </c>
      <c r="C25" s="10" t="s">
        <v>1217</v>
      </c>
      <c r="D25" s="10" t="s">
        <v>1218</v>
      </c>
      <c r="E25" s="10" t="s">
        <v>1219</v>
      </c>
      <c r="F25" s="10" t="s">
        <v>1220</v>
      </c>
      <c r="G25" s="10" t="s">
        <v>567</v>
      </c>
      <c r="H25" s="10" t="s">
        <v>1221</v>
      </c>
      <c r="I25" s="10" t="str">
        <f>HYPERLINK("https://he-eppat.vercel.app/Backlog-IDDS-TN-CMS-Prototype.html","https://he-eppat.vercel.app/Backlog-IDDS-TN-CMS-Prototype.html")</f>
        <v>https://he-eppat.vercel.app/Backlog-IDDS-TN-CMS-Prototype.html</v>
      </c>
      <c r="J25" s="10" t="s">
        <v>1222</v>
      </c>
      <c r="K25" s="12" t="s">
        <v>541</v>
      </c>
      <c r="L25" s="12" t="s">
        <v>27</v>
      </c>
      <c r="M25" s="13">
        <v>46321</v>
      </c>
    </row>
    <row r="26" spans="1:13" x14ac:dyDescent="0.25">
      <c r="A26" s="14">
        <v>22</v>
      </c>
      <c r="B26" s="15" t="s">
        <v>1223</v>
      </c>
      <c r="C26" s="14" t="s">
        <v>1224</v>
      </c>
      <c r="D26" s="14" t="s">
        <v>1225</v>
      </c>
      <c r="E26" s="14" t="s">
        <v>1226</v>
      </c>
      <c r="F26" s="14" t="s">
        <v>1227</v>
      </c>
      <c r="G26" s="14" t="s">
        <v>538</v>
      </c>
      <c r="H26" s="14" t="s">
        <v>1228</v>
      </c>
      <c r="I26" s="14" t="str">
        <f>HYPERLINK("https://he-eppat.vercel.app/Backlog-IDDS-TN-CMS-Prototype.html","https://he-eppat.vercel.app/Backlog-IDDS-TN-CMS-Prototype.html")</f>
        <v>https://he-eppat.vercel.app/Backlog-IDDS-TN-CMS-Prototype.html</v>
      </c>
      <c r="J26" s="14" t="s">
        <v>1229</v>
      </c>
      <c r="K26" s="12" t="s">
        <v>541</v>
      </c>
      <c r="L26" s="12" t="s">
        <v>27</v>
      </c>
      <c r="M26" s="16">
        <v>46321</v>
      </c>
    </row>
    <row r="27" spans="1:13" x14ac:dyDescent="0.25">
      <c r="A27" s="10">
        <v>23</v>
      </c>
      <c r="B27" s="11" t="s">
        <v>1230</v>
      </c>
      <c r="C27" s="10" t="s">
        <v>1231</v>
      </c>
      <c r="D27" s="10" t="s">
        <v>1232</v>
      </c>
      <c r="E27" s="10" t="s">
        <v>1233</v>
      </c>
      <c r="F27" s="10" t="s">
        <v>1234</v>
      </c>
      <c r="G27" s="10" t="s">
        <v>567</v>
      </c>
      <c r="H27" s="10" t="s">
        <v>1235</v>
      </c>
      <c r="I27" s="10" t="str">
        <f>HYPERLINK("https://he-eppat.vercel.app/Backlog-IDDS-TN-CMS-Prototype.html","https://he-eppat.vercel.app/Backlog-IDDS-TN-CMS-Prototype.html")</f>
        <v>https://he-eppat.vercel.app/Backlog-IDDS-TN-CMS-Prototype.html</v>
      </c>
      <c r="J27" s="10" t="s">
        <v>1236</v>
      </c>
      <c r="K27" s="12" t="s">
        <v>541</v>
      </c>
      <c r="L27" s="12" t="s">
        <v>1237</v>
      </c>
      <c r="M27" s="13">
        <v>46321</v>
      </c>
    </row>
    <row r="28" spans="1:13" x14ac:dyDescent="0.25">
      <c r="A28" s="14">
        <v>24</v>
      </c>
      <c r="B28" s="15" t="s">
        <v>1238</v>
      </c>
      <c r="C28" s="14" t="s">
        <v>1239</v>
      </c>
      <c r="D28" s="14" t="s">
        <v>1240</v>
      </c>
      <c r="E28" s="14" t="s">
        <v>1241</v>
      </c>
      <c r="F28" s="14" t="s">
        <v>1242</v>
      </c>
      <c r="G28" s="14" t="s">
        <v>641</v>
      </c>
      <c r="H28" s="14" t="s">
        <v>1243</v>
      </c>
      <c r="I28" s="14" t="str">
        <f>HYPERLINK("https://he-eppat.vercel.app/Backlog-IDDS-TN-CMS-Prototype.html","https://he-eppat.vercel.app/Backlog-IDDS-TN-CMS-Prototype.html")</f>
        <v>https://he-eppat.vercel.app/Backlog-IDDS-TN-CMS-Prototype.html</v>
      </c>
      <c r="J28" s="14" t="s">
        <v>1244</v>
      </c>
      <c r="K28" s="12" t="s">
        <v>541</v>
      </c>
      <c r="L28" s="12" t="s">
        <v>27</v>
      </c>
      <c r="M28" s="16">
        <v>46321</v>
      </c>
    </row>
    <row r="29" spans="1:13" x14ac:dyDescent="0.25">
      <c r="A29" s="10">
        <v>25</v>
      </c>
      <c r="B29" s="11" t="s">
        <v>1245</v>
      </c>
      <c r="C29" s="10" t="s">
        <v>1239</v>
      </c>
      <c r="D29" s="10" t="s">
        <v>1246</v>
      </c>
      <c r="E29" s="10" t="s">
        <v>1247</v>
      </c>
      <c r="F29" s="10" t="s">
        <v>1248</v>
      </c>
      <c r="G29" s="10" t="s">
        <v>567</v>
      </c>
      <c r="H29" s="10" t="s">
        <v>1243</v>
      </c>
      <c r="I29" s="10" t="str">
        <f>HYPERLINK("https://he-eppat.vercel.app/Backlog-IDDS-TN-CMS-Prototype.html","https://he-eppat.vercel.app/Backlog-IDDS-TN-CMS-Prototype.html")</f>
        <v>https://he-eppat.vercel.app/Backlog-IDDS-TN-CMS-Prototype.html</v>
      </c>
      <c r="J29" s="10" t="s">
        <v>1249</v>
      </c>
      <c r="K29" s="12" t="s">
        <v>541</v>
      </c>
      <c r="L29" s="12" t="s">
        <v>1250</v>
      </c>
      <c r="M29" s="13">
        <v>46321</v>
      </c>
    </row>
    <row r="30" spans="1:13" x14ac:dyDescent="0.25">
      <c r="A30" s="14">
        <v>26</v>
      </c>
      <c r="B30" s="15" t="s">
        <v>1251</v>
      </c>
      <c r="C30" s="14" t="s">
        <v>1239</v>
      </c>
      <c r="D30" s="14" t="s">
        <v>1252</v>
      </c>
      <c r="E30" s="14" t="s">
        <v>1253</v>
      </c>
      <c r="F30" s="14" t="s">
        <v>1254</v>
      </c>
      <c r="G30" s="14" t="s">
        <v>641</v>
      </c>
      <c r="H30" s="14" t="s">
        <v>1243</v>
      </c>
      <c r="I30" s="14" t="str">
        <f>HYPERLINK("https://he-eppat.vercel.app/Backlog-IDDS-TN-CMS-Prototype.html","https://he-eppat.vercel.app/Backlog-IDDS-TN-CMS-Prototype.html")</f>
        <v>https://he-eppat.vercel.app/Backlog-IDDS-TN-CMS-Prototype.html</v>
      </c>
      <c r="J30" s="14" t="s">
        <v>1255</v>
      </c>
      <c r="K30" s="12" t="s">
        <v>541</v>
      </c>
      <c r="L30" s="12" t="s">
        <v>27</v>
      </c>
      <c r="M30" s="16">
        <v>46321</v>
      </c>
    </row>
    <row r="31" spans="1:13" x14ac:dyDescent="0.25">
      <c r="A31" s="10">
        <v>27</v>
      </c>
      <c r="B31" s="11" t="s">
        <v>184</v>
      </c>
      <c r="C31" s="10" t="s">
        <v>1256</v>
      </c>
      <c r="D31" s="10" t="s">
        <v>1257</v>
      </c>
      <c r="E31" s="10" t="s">
        <v>1258</v>
      </c>
      <c r="F31" s="10" t="s">
        <v>1259</v>
      </c>
      <c r="G31" s="10" t="s">
        <v>567</v>
      </c>
      <c r="H31" s="10" t="s">
        <v>1260</v>
      </c>
      <c r="I31" s="10" t="str">
        <f>HYPERLINK("https://he-eppat.vercel.app/Backlog-IDDS-TN-EPPAT-Prototype.html","https://he-eppat.vercel.app/Backlog-IDDS-TN-EPPAT-Prototype.html")</f>
        <v>https://he-eppat.vercel.app/Backlog-IDDS-TN-EPPAT-Prototype.html</v>
      </c>
      <c r="J31" s="10" t="s">
        <v>1261</v>
      </c>
      <c r="K31" s="12" t="s">
        <v>541</v>
      </c>
      <c r="L31" s="12" t="s">
        <v>1262</v>
      </c>
      <c r="M31" s="13">
        <v>46321</v>
      </c>
    </row>
    <row r="32" spans="1:13" x14ac:dyDescent="0.25">
      <c r="A32" s="14">
        <v>28</v>
      </c>
      <c r="B32" s="15" t="s">
        <v>110</v>
      </c>
      <c r="C32" s="14" t="s">
        <v>1256</v>
      </c>
      <c r="D32" s="14" t="s">
        <v>1263</v>
      </c>
      <c r="E32" s="14" t="s">
        <v>1264</v>
      </c>
      <c r="F32" s="14" t="s">
        <v>1265</v>
      </c>
      <c r="G32" s="14" t="s">
        <v>641</v>
      </c>
      <c r="H32" s="14" t="s">
        <v>1260</v>
      </c>
      <c r="I32" s="14" t="str">
        <f>HYPERLINK("https://he-eppat.vercel.app/Backlog-IDDS-TN-EPPAT-Prototype.html","https://he-eppat.vercel.app/Backlog-IDDS-TN-EPPAT-Prototype.html")</f>
        <v>https://he-eppat.vercel.app/Backlog-IDDS-TN-EPPAT-Prototype.html</v>
      </c>
      <c r="J32" s="14" t="s">
        <v>1266</v>
      </c>
      <c r="K32" s="12" t="s">
        <v>541</v>
      </c>
      <c r="L32" s="12" t="s">
        <v>27</v>
      </c>
      <c r="M32" s="16">
        <v>46321</v>
      </c>
    </row>
    <row r="33" spans="1:13" x14ac:dyDescent="0.25">
      <c r="A33" s="10">
        <v>29</v>
      </c>
      <c r="B33" s="11" t="s">
        <v>297</v>
      </c>
      <c r="C33" s="10" t="s">
        <v>1267</v>
      </c>
      <c r="D33" s="10" t="s">
        <v>1268</v>
      </c>
      <c r="E33" s="10" t="s">
        <v>1269</v>
      </c>
      <c r="F33" s="10" t="s">
        <v>1270</v>
      </c>
      <c r="G33" s="10" t="s">
        <v>538</v>
      </c>
      <c r="H33" s="10" t="s">
        <v>1271</v>
      </c>
      <c r="I33" s="10" t="str">
        <f>HYPERLINK("https://he-eppat.vercel.app/Backlog-IDDS-TN-EPPAT-Prototype.html","https://he-eppat.vercel.app/Backlog-IDDS-TN-EPPAT-Prototype.html")</f>
        <v>https://he-eppat.vercel.app/Backlog-IDDS-TN-EPPAT-Prototype.html</v>
      </c>
      <c r="J33" s="10" t="s">
        <v>1272</v>
      </c>
      <c r="K33" s="12" t="s">
        <v>541</v>
      </c>
      <c r="L33" s="12" t="s">
        <v>27</v>
      </c>
      <c r="M33" s="13">
        <v>46321</v>
      </c>
    </row>
    <row r="34" spans="1:13" x14ac:dyDescent="0.25">
      <c r="A34" s="14">
        <v>30</v>
      </c>
      <c r="B34" s="15" t="s">
        <v>68</v>
      </c>
      <c r="C34" s="14" t="s">
        <v>1267</v>
      </c>
      <c r="D34" s="14" t="s">
        <v>1273</v>
      </c>
      <c r="E34" s="14" t="s">
        <v>1274</v>
      </c>
      <c r="F34" s="14" t="s">
        <v>1275</v>
      </c>
      <c r="G34" s="14" t="s">
        <v>567</v>
      </c>
      <c r="H34" s="14" t="s">
        <v>1271</v>
      </c>
      <c r="I34" s="14" t="str">
        <f>HYPERLINK("https://he-eppat.vercel.app/Backlog-IDDS-TN-EPPAT-Prototype.html","https://he-eppat.vercel.app/Backlog-IDDS-TN-EPPAT-Prototype.html")</f>
        <v>https://he-eppat.vercel.app/Backlog-IDDS-TN-EPPAT-Prototype.html</v>
      </c>
      <c r="J34" s="14" t="s">
        <v>1276</v>
      </c>
      <c r="K34" s="12" t="s">
        <v>541</v>
      </c>
      <c r="L34" s="12" t="s">
        <v>27</v>
      </c>
      <c r="M34" s="16">
        <v>46321</v>
      </c>
    </row>
    <row r="35" spans="1:13" x14ac:dyDescent="0.25">
      <c r="A35" s="10">
        <v>31</v>
      </c>
      <c r="B35" s="11" t="s">
        <v>1277</v>
      </c>
      <c r="C35" s="10" t="s">
        <v>1278</v>
      </c>
      <c r="D35" s="10" t="s">
        <v>1279</v>
      </c>
      <c r="E35" s="10" t="s">
        <v>1280</v>
      </c>
      <c r="F35" s="10" t="s">
        <v>1281</v>
      </c>
      <c r="G35" s="10" t="s">
        <v>538</v>
      </c>
      <c r="H35" s="10" t="s">
        <v>1282</v>
      </c>
      <c r="I35" s="10" t="str">
        <f>HYPERLINK("https://he-eppat.vercel.app/Backlog-IDDS-TN-EPPAT-Prototype.html","https://he-eppat.vercel.app/Backlog-IDDS-TN-EPPAT-Prototype.html")</f>
        <v>https://he-eppat.vercel.app/Backlog-IDDS-TN-EPPAT-Prototype.html</v>
      </c>
      <c r="J35" s="10" t="s">
        <v>1283</v>
      </c>
      <c r="K35" s="12" t="s">
        <v>541</v>
      </c>
      <c r="L35" s="12" t="s">
        <v>27</v>
      </c>
      <c r="M35" s="13">
        <v>46321</v>
      </c>
    </row>
    <row r="36" spans="1:13" x14ac:dyDescent="0.25">
      <c r="A36" s="14">
        <v>32</v>
      </c>
      <c r="B36" s="15" t="s">
        <v>1284</v>
      </c>
      <c r="C36" s="14" t="s">
        <v>1285</v>
      </c>
      <c r="D36" s="14" t="s">
        <v>1286</v>
      </c>
      <c r="E36" s="14" t="s">
        <v>1287</v>
      </c>
      <c r="F36" s="14" t="s">
        <v>1288</v>
      </c>
      <c r="G36" s="14" t="s">
        <v>567</v>
      </c>
      <c r="H36" s="14" t="s">
        <v>1289</v>
      </c>
      <c r="I36" s="14" t="str">
        <f>HYPERLINK("https://he-eppat.vercel.app/Backlog-IDDS-TN-EPPAT-Prototype.html","https://he-eppat.vercel.app/Backlog-IDDS-TN-EPPAT-Prototype.html")</f>
        <v>https://he-eppat.vercel.app/Backlog-IDDS-TN-EPPAT-Prototype.html</v>
      </c>
      <c r="J36" s="14" t="s">
        <v>1290</v>
      </c>
      <c r="K36" s="12" t="s">
        <v>541</v>
      </c>
      <c r="L36" s="12" t="s">
        <v>1291</v>
      </c>
      <c r="M36" s="16">
        <v>46321</v>
      </c>
    </row>
    <row r="37" spans="1:13" x14ac:dyDescent="0.25">
      <c r="A37" s="10">
        <v>33</v>
      </c>
      <c r="B37" s="11" t="s">
        <v>1292</v>
      </c>
      <c r="C37" s="10" t="s">
        <v>1293</v>
      </c>
      <c r="D37" s="10" t="s">
        <v>1294</v>
      </c>
      <c r="E37" s="10" t="s">
        <v>1295</v>
      </c>
      <c r="F37" s="10" t="s">
        <v>1296</v>
      </c>
      <c r="G37" s="10" t="s">
        <v>567</v>
      </c>
      <c r="H37" s="10" t="s">
        <v>1297</v>
      </c>
      <c r="I37" s="10" t="str">
        <f>HYPERLINK("https://he-eppat.vercel.app/Backlog-IDDS-TN-EPPAT-Prototype.html","https://he-eppat.vercel.app/Backlog-IDDS-TN-EPPAT-Prototype.html")</f>
        <v>https://he-eppat.vercel.app/Backlog-IDDS-TN-EPPAT-Prototype.html</v>
      </c>
      <c r="J37" s="10" t="s">
        <v>1298</v>
      </c>
      <c r="K37" s="12" t="s">
        <v>541</v>
      </c>
      <c r="L37" s="12" t="s">
        <v>27</v>
      </c>
      <c r="M37" s="13">
        <v>46321</v>
      </c>
    </row>
    <row r="38" spans="1:13" x14ac:dyDescent="0.25">
      <c r="A38" s="14">
        <v>34</v>
      </c>
      <c r="B38" s="15" t="s">
        <v>1299</v>
      </c>
      <c r="C38" s="14" t="s">
        <v>1300</v>
      </c>
      <c r="D38" s="14" t="s">
        <v>1301</v>
      </c>
      <c r="E38" s="14" t="s">
        <v>1302</v>
      </c>
      <c r="F38" s="14" t="s">
        <v>1303</v>
      </c>
      <c r="G38" s="14" t="s">
        <v>538</v>
      </c>
      <c r="H38" s="14" t="s">
        <v>1304</v>
      </c>
      <c r="I38" s="14" t="str">
        <f>HYPERLINK("https://he-eppat.vercel.app/Backlog-IDDS-TN-EPPAT-Prototype.html","https://he-eppat.vercel.app/Backlog-IDDS-TN-EPPAT-Prototype.html")</f>
        <v>https://he-eppat.vercel.app/Backlog-IDDS-TN-EPPAT-Prototype.html</v>
      </c>
      <c r="J38" s="14" t="s">
        <v>1305</v>
      </c>
      <c r="K38" s="12" t="s">
        <v>541</v>
      </c>
      <c r="L38" s="12" t="s">
        <v>27</v>
      </c>
      <c r="M38" s="16">
        <v>46321</v>
      </c>
    </row>
    <row r="39" spans="1:13" x14ac:dyDescent="0.25">
      <c r="A39" s="10">
        <v>35</v>
      </c>
      <c r="B39" s="11" t="s">
        <v>1306</v>
      </c>
      <c r="C39" s="10" t="s">
        <v>1307</v>
      </c>
      <c r="D39" s="10" t="s">
        <v>1308</v>
      </c>
      <c r="E39" s="10" t="s">
        <v>1309</v>
      </c>
      <c r="F39" s="10" t="s">
        <v>1310</v>
      </c>
      <c r="G39" s="10" t="s">
        <v>567</v>
      </c>
      <c r="H39" s="10" t="s">
        <v>1311</v>
      </c>
      <c r="I39" s="10" t="str">
        <f>HYPERLINK("https://he-eppat.vercel.app/Backlog-IDDS-TN-EPPAT-Prototype.html","https://he-eppat.vercel.app/Backlog-IDDS-TN-EPPAT-Prototype.html")</f>
        <v>https://he-eppat.vercel.app/Backlog-IDDS-TN-EPPAT-Prototype.html</v>
      </c>
      <c r="J39" s="10" t="s">
        <v>1312</v>
      </c>
      <c r="K39" s="12" t="s">
        <v>541</v>
      </c>
      <c r="L39" s="12" t="s">
        <v>1313</v>
      </c>
      <c r="M39" s="13">
        <v>46321</v>
      </c>
    </row>
    <row r="40" spans="1:13" x14ac:dyDescent="0.25">
      <c r="A40" s="14">
        <v>36</v>
      </c>
      <c r="B40" s="15" t="s">
        <v>1314</v>
      </c>
      <c r="C40" s="14" t="s">
        <v>1315</v>
      </c>
      <c r="D40" s="14" t="s">
        <v>1316</v>
      </c>
      <c r="E40" s="14" t="s">
        <v>1317</v>
      </c>
      <c r="F40" s="14" t="s">
        <v>1318</v>
      </c>
      <c r="G40" s="14" t="s">
        <v>567</v>
      </c>
      <c r="H40" s="14" t="s">
        <v>1319</v>
      </c>
      <c r="I40" s="14" t="str">
        <f>HYPERLINK("https://he-eppat.vercel.app/Backlog-IDDS-TN-EPPAT-Prototype.html","https://he-eppat.vercel.app/Backlog-IDDS-TN-EPPAT-Prototype.html")</f>
        <v>https://he-eppat.vercel.app/Backlog-IDDS-TN-EPPAT-Prototype.html</v>
      </c>
      <c r="J40" s="14" t="s">
        <v>1320</v>
      </c>
      <c r="K40" s="12" t="s">
        <v>541</v>
      </c>
      <c r="L40" s="12" t="s">
        <v>1250</v>
      </c>
      <c r="M40" s="16">
        <v>46321</v>
      </c>
    </row>
    <row r="41" spans="1:13" x14ac:dyDescent="0.25">
      <c r="A41" s="10">
        <v>37</v>
      </c>
      <c r="B41" s="11" t="s">
        <v>403</v>
      </c>
      <c r="C41" s="10" t="s">
        <v>1315</v>
      </c>
      <c r="D41" s="10" t="s">
        <v>1321</v>
      </c>
      <c r="E41" s="10" t="s">
        <v>1322</v>
      </c>
      <c r="F41" s="10" t="s">
        <v>1323</v>
      </c>
      <c r="G41" s="10" t="s">
        <v>641</v>
      </c>
      <c r="H41" s="10" t="s">
        <v>1319</v>
      </c>
      <c r="I41" s="10" t="str">
        <f>HYPERLINK("https://he-eppat.vercel.app/Backlog-IDDS-TN-EPPAT-Prototype.html","https://he-eppat.vercel.app/Backlog-IDDS-TN-EPPAT-Prototype.html")</f>
        <v>https://he-eppat.vercel.app/Backlog-IDDS-TN-EPPAT-Prototype.html</v>
      </c>
      <c r="J41" s="10" t="s">
        <v>1324</v>
      </c>
      <c r="K41" s="12" t="s">
        <v>541</v>
      </c>
      <c r="L41" s="12" t="s">
        <v>1325</v>
      </c>
      <c r="M41" s="13">
        <v>46321</v>
      </c>
    </row>
    <row r="42" spans="1:13" x14ac:dyDescent="0.25">
      <c r="A42" s="14">
        <v>38</v>
      </c>
      <c r="B42" s="15" t="s">
        <v>1326</v>
      </c>
      <c r="C42" s="14" t="s">
        <v>1097</v>
      </c>
      <c r="D42" s="14" t="s">
        <v>1327</v>
      </c>
      <c r="E42" s="14" t="s">
        <v>1328</v>
      </c>
      <c r="F42" s="14" t="s">
        <v>1329</v>
      </c>
      <c r="G42" s="14" t="s">
        <v>567</v>
      </c>
      <c r="H42" s="14" t="s">
        <v>1101</v>
      </c>
      <c r="I42" s="14" t="str">
        <f>HYPERLINK("https://he-eppat.vercel.app/Backlog-IDDS-TN-MASUK-Prototype.html","https://he-eppat.vercel.app/Backlog-IDDS-TN-MASUK-Prototype.html")</f>
        <v>https://he-eppat.vercel.app/Backlog-IDDS-TN-MASUK-Prototype.html</v>
      </c>
      <c r="J42" s="14" t="s">
        <v>1330</v>
      </c>
      <c r="K42" s="12" t="s">
        <v>541</v>
      </c>
      <c r="L42" s="12" t="s">
        <v>1250</v>
      </c>
      <c r="M42" s="16">
        <v>46321</v>
      </c>
    </row>
    <row r="43" spans="1:13" x14ac:dyDescent="0.25">
      <c r="A43" s="10">
        <v>39</v>
      </c>
      <c r="B43" s="11" t="s">
        <v>1331</v>
      </c>
      <c r="C43" s="10" t="s">
        <v>1332</v>
      </c>
      <c r="D43" s="10" t="s">
        <v>1333</v>
      </c>
      <c r="E43" s="10" t="s">
        <v>1334</v>
      </c>
      <c r="F43" s="10" t="s">
        <v>1335</v>
      </c>
      <c r="G43" s="10" t="s">
        <v>567</v>
      </c>
      <c r="H43" s="10" t="s">
        <v>1336</v>
      </c>
      <c r="I43" s="10" t="str">
        <f>HYPERLINK("https://he-eppat.vercel.app/Backlog-IDDS-TN-SYSTEM-Prototype.html","https://he-eppat.vercel.app/Backlog-IDDS-TN-SYSTEM-Prototype.html")</f>
        <v>https://he-eppat.vercel.app/Backlog-IDDS-TN-SYSTEM-Prototype.html</v>
      </c>
      <c r="J43" s="10" t="s">
        <v>1337</v>
      </c>
      <c r="K43" s="12" t="s">
        <v>541</v>
      </c>
      <c r="L43" s="12" t="s">
        <v>1338</v>
      </c>
      <c r="M43" s="13">
        <v>46321</v>
      </c>
    </row>
    <row r="44" spans="1:13" x14ac:dyDescent="0.25">
      <c r="A44" s="14">
        <v>40</v>
      </c>
      <c r="B44" s="15" t="s">
        <v>1339</v>
      </c>
      <c r="C44" s="14" t="s">
        <v>1340</v>
      </c>
      <c r="D44" s="14" t="s">
        <v>1341</v>
      </c>
      <c r="E44" s="14" t="s">
        <v>1342</v>
      </c>
      <c r="F44" s="14" t="s">
        <v>1343</v>
      </c>
      <c r="G44" s="14" t="s">
        <v>567</v>
      </c>
      <c r="H44" s="14" t="s">
        <v>1344</v>
      </c>
      <c r="I44" s="14" t="str">
        <f>HYPERLINK("https://he-eppat.vercel.app/Backlog-IDDS-TN-SYSTEM-Prototype.html","https://he-eppat.vercel.app/Backlog-IDDS-TN-SYSTEM-Prototype.html")</f>
        <v>https://he-eppat.vercel.app/Backlog-IDDS-TN-SYSTEM-Prototype.html</v>
      </c>
      <c r="J44" s="14" t="s">
        <v>1345</v>
      </c>
      <c r="K44" s="12" t="s">
        <v>541</v>
      </c>
      <c r="L44" s="12" t="s">
        <v>1346</v>
      </c>
      <c r="M44" s="16">
        <v>46321</v>
      </c>
    </row>
    <row r="45" spans="7:11" x14ac:dyDescent="0.25"/>
    <row r="46" spans="7:11" x14ac:dyDescent="0.25"/>
    <row r="47" spans="7:11" x14ac:dyDescent="0.25"/>
    <row r="48" spans="7:11" x14ac:dyDescent="0.25"/>
    <row r="49" spans="7:11" x14ac:dyDescent="0.25"/>
    <row r="50" spans="7:11" x14ac:dyDescent="0.25"/>
    <row r="51" spans="7:11" x14ac:dyDescent="0.25"/>
    <row r="52" spans="7:11" x14ac:dyDescent="0.25"/>
    <row r="53" spans="7:11" x14ac:dyDescent="0.25"/>
    <row r="54" spans="7:11" x14ac:dyDescent="0.25"/>
    <row r="55" spans="7:11" x14ac:dyDescent="0.25"/>
    <row r="56" spans="7:11" x14ac:dyDescent="0.25"/>
    <row r="57" spans="7:11" x14ac:dyDescent="0.25"/>
    <row r="58" spans="7:11" x14ac:dyDescent="0.25"/>
    <row r="59" spans="7:11" x14ac:dyDescent="0.25"/>
    <row r="60" spans="7:11" x14ac:dyDescent="0.25"/>
    <row r="61" spans="7:11" x14ac:dyDescent="0.25"/>
    <row r="62" spans="7:11" x14ac:dyDescent="0.25"/>
    <row r="63" spans="7:11" x14ac:dyDescent="0.25"/>
    <row r="64" spans="7:11" x14ac:dyDescent="0.25"/>
    <row r="65" spans="7:11" x14ac:dyDescent="0.25"/>
    <row r="66" spans="7:11" x14ac:dyDescent="0.25"/>
    <row r="67" spans="7:11" x14ac:dyDescent="0.25"/>
    <row r="68" spans="7:11" x14ac:dyDescent="0.25"/>
    <row r="69" spans="7:11" x14ac:dyDescent="0.25"/>
    <row r="70" spans="7:11" x14ac:dyDescent="0.25"/>
    <row r="71" spans="7:11" x14ac:dyDescent="0.25"/>
    <row r="72" spans="7:11" x14ac:dyDescent="0.25"/>
    <row r="73" spans="7:11" x14ac:dyDescent="0.25"/>
    <row r="74" spans="7:11" x14ac:dyDescent="0.25"/>
    <row r="75" spans="7:11" x14ac:dyDescent="0.25"/>
    <row r="76" spans="7:11" x14ac:dyDescent="0.25"/>
    <row r="77" spans="7:11" x14ac:dyDescent="0.25"/>
    <row r="78" spans="7:11" x14ac:dyDescent="0.25"/>
    <row r="79" spans="7:11" x14ac:dyDescent="0.25"/>
    <row r="80" spans="7:11" x14ac:dyDescent="0.25"/>
    <row r="81" spans="7:11" x14ac:dyDescent="0.25"/>
    <row r="82" spans="7:11" x14ac:dyDescent="0.25"/>
    <row r="83" spans="7:11" x14ac:dyDescent="0.25"/>
    <row r="84" spans="7:11" x14ac:dyDescent="0.25"/>
    <row r="85" spans="7:11" x14ac:dyDescent="0.25"/>
    <row r="86" spans="7:11" x14ac:dyDescent="0.25"/>
    <row r="87" spans="7:11" x14ac:dyDescent="0.25"/>
    <row r="88" spans="7:11" x14ac:dyDescent="0.25"/>
    <row r="89" spans="7:11" x14ac:dyDescent="0.25"/>
    <row r="90" spans="7:11" x14ac:dyDescent="0.25"/>
    <row r="91" spans="7:11" x14ac:dyDescent="0.25"/>
    <row r="92" spans="7:11" x14ac:dyDescent="0.25"/>
    <row r="93" spans="7:11" x14ac:dyDescent="0.25"/>
    <row r="94" spans="7:11" x14ac:dyDescent="0.25"/>
    <row r="95" spans="7:11" x14ac:dyDescent="0.25"/>
    <row r="96" spans="7:11" x14ac:dyDescent="0.25"/>
    <row r="97" spans="7:11" x14ac:dyDescent="0.25"/>
    <row r="98" spans="7:11" x14ac:dyDescent="0.25"/>
    <row r="99" spans="7:11" x14ac:dyDescent="0.25"/>
    <row r="100" spans="7:11" x14ac:dyDescent="0.25"/>
    <row r="101" spans="7:11" x14ac:dyDescent="0.25"/>
    <row r="102" spans="7:11" x14ac:dyDescent="0.25"/>
    <row r="103" spans="7:11" x14ac:dyDescent="0.25"/>
    <row r="104" spans="7:11" x14ac:dyDescent="0.25"/>
    <row r="105" spans="7:11" x14ac:dyDescent="0.25"/>
    <row r="106" spans="7:11" x14ac:dyDescent="0.25"/>
    <row r="107" spans="7:11" x14ac:dyDescent="0.25"/>
    <row r="108" spans="7:11" x14ac:dyDescent="0.25"/>
    <row r="109" spans="7:11" x14ac:dyDescent="0.25"/>
    <row r="110" spans="7:11" x14ac:dyDescent="0.25"/>
    <row r="111" spans="7:11" x14ac:dyDescent="0.25"/>
    <row r="112" spans="7:11" x14ac:dyDescent="0.25"/>
    <row r="113" spans="7:11" x14ac:dyDescent="0.25"/>
    <row r="114" spans="7:11" x14ac:dyDescent="0.25"/>
    <row r="115" spans="7:11" x14ac:dyDescent="0.25"/>
    <row r="116" spans="7:11" x14ac:dyDescent="0.25"/>
    <row r="117" spans="7:11" x14ac:dyDescent="0.25"/>
    <row r="118" spans="7:11" x14ac:dyDescent="0.25"/>
    <row r="119" spans="7:11" x14ac:dyDescent="0.25"/>
    <row r="120" spans="7:11" x14ac:dyDescent="0.25"/>
    <row r="121" spans="7:11" x14ac:dyDescent="0.25"/>
    <row r="122" spans="7:11" x14ac:dyDescent="0.25"/>
    <row r="123" spans="7:11" x14ac:dyDescent="0.25"/>
    <row r="124" spans="7:11" x14ac:dyDescent="0.25"/>
    <row r="125" spans="7:11" x14ac:dyDescent="0.25"/>
    <row r="126" spans="7:11" x14ac:dyDescent="0.25"/>
    <row r="127" spans="7:11" x14ac:dyDescent="0.25"/>
    <row r="128" spans="7:11" x14ac:dyDescent="0.25"/>
    <row r="129" spans="7:11" x14ac:dyDescent="0.25"/>
    <row r="130" spans="7:11" x14ac:dyDescent="0.25"/>
    <row r="131" spans="7:11" x14ac:dyDescent="0.25"/>
    <row r="132" spans="7:11" x14ac:dyDescent="0.25"/>
    <row r="133" spans="7:11" x14ac:dyDescent="0.25"/>
    <row r="134" spans="7:11" x14ac:dyDescent="0.25"/>
    <row r="135" spans="7:11" x14ac:dyDescent="0.25"/>
    <row r="136" spans="7:11" x14ac:dyDescent="0.25"/>
    <row r="137" spans="7:11" x14ac:dyDescent="0.25"/>
    <row r="138" spans="7:11" x14ac:dyDescent="0.25"/>
    <row r="139" spans="7:11" x14ac:dyDescent="0.25"/>
    <row r="140" spans="7:11" x14ac:dyDescent="0.25"/>
    <row r="141" spans="7:11" x14ac:dyDescent="0.25"/>
    <row r="142" spans="7:11" x14ac:dyDescent="0.25"/>
    <row r="143" spans="7:11" x14ac:dyDescent="0.25"/>
    <row r="144" spans="7:11" x14ac:dyDescent="0.25"/>
    <row r="145" spans="7:11" x14ac:dyDescent="0.25"/>
    <row r="146" spans="7:11" x14ac:dyDescent="0.25"/>
    <row r="147" spans="7:11" x14ac:dyDescent="0.25"/>
    <row r="148" spans="7:11" x14ac:dyDescent="0.25"/>
    <row r="149" spans="7:11" x14ac:dyDescent="0.25"/>
    <row r="150" spans="7:11" x14ac:dyDescent="0.25"/>
    <row r="151" spans="7:11" x14ac:dyDescent="0.25"/>
    <row r="152" spans="7:11" x14ac:dyDescent="0.25"/>
    <row r="153" spans="7:11" x14ac:dyDescent="0.25"/>
    <row r="154" spans="7:11" x14ac:dyDescent="0.25"/>
    <row r="155" spans="7:11" x14ac:dyDescent="0.25"/>
    <row r="156" spans="7:11" x14ac:dyDescent="0.25"/>
    <row r="157" spans="7:11" x14ac:dyDescent="0.25"/>
    <row r="158" spans="7:11" x14ac:dyDescent="0.25"/>
    <row r="159" spans="7:11" x14ac:dyDescent="0.25"/>
    <row r="160" spans="7:11" x14ac:dyDescent="0.25"/>
    <row r="161" spans="7:11" x14ac:dyDescent="0.25"/>
    <row r="162" spans="7:11" x14ac:dyDescent="0.25"/>
    <row r="163" spans="7:11" x14ac:dyDescent="0.25"/>
    <row r="164" spans="7:11" x14ac:dyDescent="0.25"/>
    <row r="165" spans="7:11" x14ac:dyDescent="0.25"/>
    <row r="166" spans="7:11" x14ac:dyDescent="0.25"/>
    <row r="167" spans="7:11" x14ac:dyDescent="0.25"/>
    <row r="168" spans="7:11" x14ac:dyDescent="0.25"/>
    <row r="169" spans="7:11" x14ac:dyDescent="0.25"/>
    <row r="170" spans="7:11" x14ac:dyDescent="0.25"/>
    <row r="171" spans="7:11" x14ac:dyDescent="0.25"/>
    <row r="172" spans="7:11" x14ac:dyDescent="0.25"/>
    <row r="173" spans="7:11" x14ac:dyDescent="0.25"/>
    <row r="174" spans="7:11" x14ac:dyDescent="0.25"/>
    <row r="175" spans="7:11" x14ac:dyDescent="0.25"/>
    <row r="176" spans="7:11" x14ac:dyDescent="0.25"/>
    <row r="177" spans="7:11" x14ac:dyDescent="0.25"/>
    <row r="178" spans="7:11" x14ac:dyDescent="0.25"/>
    <row r="179" spans="7:11" x14ac:dyDescent="0.25"/>
    <row r="180" spans="7:11" x14ac:dyDescent="0.25"/>
    <row r="181" spans="7:11" x14ac:dyDescent="0.25"/>
    <row r="182" spans="7:11" x14ac:dyDescent="0.25"/>
    <row r="183" spans="7:11" x14ac:dyDescent="0.25"/>
    <row r="184" spans="7:11" x14ac:dyDescent="0.25"/>
    <row r="185" spans="7:11" x14ac:dyDescent="0.25"/>
    <row r="186" spans="7:11" x14ac:dyDescent="0.25"/>
    <row r="187" spans="7:11" x14ac:dyDescent="0.25"/>
    <row r="188" spans="7:11" x14ac:dyDescent="0.25"/>
    <row r="189" spans="7:11" x14ac:dyDescent="0.25"/>
    <row r="190" spans="7:11" x14ac:dyDescent="0.25"/>
    <row r="191" spans="7:11" x14ac:dyDescent="0.25"/>
    <row r="192" spans="7:11" x14ac:dyDescent="0.25"/>
    <row r="193" spans="7:11" x14ac:dyDescent="0.25"/>
    <row r="194" spans="7:11" x14ac:dyDescent="0.25"/>
    <row r="195" spans="7:11" x14ac:dyDescent="0.25"/>
    <row r="196" spans="7:11" x14ac:dyDescent="0.25"/>
    <row r="197" spans="7:11" x14ac:dyDescent="0.25"/>
    <row r="198" spans="7:11" x14ac:dyDescent="0.25"/>
    <row r="199" spans="7:11" x14ac:dyDescent="0.25"/>
    <row r="200" spans="7:11" x14ac:dyDescent="0.25"/>
    <row r="201" spans="7:11" x14ac:dyDescent="0.25"/>
    <row r="202" spans="7:11" x14ac:dyDescent="0.25"/>
    <row r="203" spans="7:11" x14ac:dyDescent="0.25"/>
    <row r="204" spans="7:11" x14ac:dyDescent="0.25"/>
    <row r="205" spans="7:11" x14ac:dyDescent="0.25"/>
    <row r="206" spans="7:11" x14ac:dyDescent="0.25"/>
    <row r="207" spans="7:11" x14ac:dyDescent="0.25"/>
    <row r="208" spans="7:11" x14ac:dyDescent="0.25"/>
    <row r="209" spans="7:11" x14ac:dyDescent="0.25"/>
    <row r="210" spans="7:11" x14ac:dyDescent="0.25"/>
    <row r="211" spans="7:11" x14ac:dyDescent="0.25"/>
    <row r="212" spans="7:11" x14ac:dyDescent="0.25"/>
    <row r="213" spans="7:11" x14ac:dyDescent="0.25"/>
    <row r="214" spans="7:11" x14ac:dyDescent="0.25"/>
    <row r="215" spans="7:11" x14ac:dyDescent="0.25"/>
    <row r="216" spans="7:11" x14ac:dyDescent="0.25"/>
    <row r="217" spans="7:11" x14ac:dyDescent="0.25"/>
    <row r="218" spans="7:11" x14ac:dyDescent="0.25"/>
    <row r="219" spans="7:11" x14ac:dyDescent="0.25"/>
    <row r="220" spans="7:11" x14ac:dyDescent="0.25"/>
    <row r="221" spans="7:11" x14ac:dyDescent="0.25"/>
    <row r="222" spans="7:11" x14ac:dyDescent="0.25"/>
    <row r="223" spans="7:11" x14ac:dyDescent="0.25"/>
    <row r="224" spans="7:11" x14ac:dyDescent="0.25"/>
    <row r="225" spans="7:11" x14ac:dyDescent="0.25"/>
    <row r="226" spans="7:11" x14ac:dyDescent="0.25"/>
    <row r="227" spans="7:11" x14ac:dyDescent="0.25"/>
    <row r="228" spans="7:11" x14ac:dyDescent="0.25"/>
    <row r="229" spans="7:11" x14ac:dyDescent="0.25"/>
    <row r="230" spans="7:11" x14ac:dyDescent="0.25"/>
    <row r="231" spans="7:11" x14ac:dyDescent="0.25"/>
    <row r="232" spans="7:11" x14ac:dyDescent="0.25"/>
    <row r="233" spans="7:11" x14ac:dyDescent="0.25"/>
    <row r="234" spans="7:11" x14ac:dyDescent="0.25"/>
    <row r="235" spans="7:11" x14ac:dyDescent="0.25"/>
    <row r="236" spans="7:11" x14ac:dyDescent="0.25"/>
    <row r="237" spans="7:11" x14ac:dyDescent="0.25"/>
    <row r="238" spans="7:11" x14ac:dyDescent="0.25"/>
    <row r="239" spans="7:11" x14ac:dyDescent="0.25"/>
    <row r="240" spans="7:11" x14ac:dyDescent="0.25"/>
    <row r="241" spans="7:11" x14ac:dyDescent="0.25"/>
    <row r="242" spans="7:11" x14ac:dyDescent="0.25"/>
    <row r="243" spans="7:11" x14ac:dyDescent="0.25"/>
    <row r="244" spans="7:11" x14ac:dyDescent="0.25"/>
    <row r="245" spans="7:11" x14ac:dyDescent="0.25"/>
    <row r="246" spans="7:11" x14ac:dyDescent="0.25"/>
    <row r="247" spans="7:11" x14ac:dyDescent="0.25"/>
    <row r="248" spans="7:11" x14ac:dyDescent="0.25"/>
    <row r="249" spans="7:11" x14ac:dyDescent="0.25"/>
    <row r="250" spans="7:11" x14ac:dyDescent="0.25"/>
    <row r="251" spans="7:11" x14ac:dyDescent="0.25"/>
    <row r="252" spans="7:11" x14ac:dyDescent="0.25"/>
    <row r="253" spans="7:11" x14ac:dyDescent="0.25"/>
    <row r="254" spans="7:11" x14ac:dyDescent="0.25"/>
    <row r="255" spans="7:11" x14ac:dyDescent="0.25"/>
    <row r="256" spans="7:11" x14ac:dyDescent="0.25"/>
    <row r="257" spans="7:11" x14ac:dyDescent="0.25"/>
    <row r="258" spans="7:11" x14ac:dyDescent="0.25"/>
    <row r="259" spans="7:11" x14ac:dyDescent="0.25"/>
    <row r="260" spans="7:11" x14ac:dyDescent="0.25"/>
    <row r="261" spans="7:11" x14ac:dyDescent="0.25"/>
    <row r="262" spans="7:11" x14ac:dyDescent="0.25"/>
    <row r="263" spans="7:11" x14ac:dyDescent="0.25"/>
    <row r="264" spans="7:11" x14ac:dyDescent="0.25"/>
    <row r="265" spans="7:11" x14ac:dyDescent="0.25"/>
    <row r="266" spans="7:11" x14ac:dyDescent="0.25"/>
    <row r="267" spans="7:11" x14ac:dyDescent="0.25"/>
    <row r="268" spans="7:11" x14ac:dyDescent="0.25"/>
    <row r="269" spans="7:11" x14ac:dyDescent="0.25"/>
    <row r="270" spans="7:11" x14ac:dyDescent="0.25"/>
    <row r="271" spans="7:11" x14ac:dyDescent="0.25"/>
    <row r="272" spans="7:11" x14ac:dyDescent="0.25"/>
    <row r="273" spans="7:11" x14ac:dyDescent="0.25"/>
    <row r="274" spans="7:11" x14ac:dyDescent="0.25"/>
    <row r="275" spans="7:11" x14ac:dyDescent="0.25"/>
    <row r="276" spans="7:11" x14ac:dyDescent="0.25"/>
    <row r="277" spans="7:11" x14ac:dyDescent="0.25"/>
    <row r="278" spans="7:11" x14ac:dyDescent="0.25"/>
    <row r="279" spans="7:11" x14ac:dyDescent="0.25"/>
    <row r="280" spans="7:11" x14ac:dyDescent="0.25"/>
    <row r="281" spans="7:11" x14ac:dyDescent="0.25"/>
    <row r="282" spans="7:11" x14ac:dyDescent="0.25"/>
    <row r="283" spans="7:11" x14ac:dyDescent="0.25"/>
    <row r="284" spans="7:11" x14ac:dyDescent="0.25"/>
    <row r="285" spans="7:11" x14ac:dyDescent="0.25"/>
    <row r="286" spans="7:11" x14ac:dyDescent="0.25"/>
    <row r="287" spans="7:11" x14ac:dyDescent="0.25"/>
    <row r="288" spans="7:11" x14ac:dyDescent="0.25"/>
    <row r="289" spans="7:11" x14ac:dyDescent="0.25"/>
    <row r="290" spans="7:11" x14ac:dyDescent="0.25"/>
    <row r="291" spans="7:11" x14ac:dyDescent="0.25"/>
    <row r="292" spans="7:11" x14ac:dyDescent="0.25"/>
    <row r="293" spans="7:11" x14ac:dyDescent="0.25"/>
    <row r="294" spans="7:11" x14ac:dyDescent="0.25"/>
    <row r="295" spans="7:11" x14ac:dyDescent="0.25"/>
    <row r="296" spans="7:11" x14ac:dyDescent="0.25"/>
    <row r="297" spans="7:11" x14ac:dyDescent="0.25"/>
    <row r="298" spans="7:11" x14ac:dyDescent="0.25"/>
    <row r="299" spans="7:11" x14ac:dyDescent="0.25"/>
    <row r="300" spans="7:11" x14ac:dyDescent="0.25"/>
  </sheetData>
  <autoFilter ref="A4:M44"/>
  <mergeCells count="3">
    <mergeCell ref="A1:M1"/>
    <mergeCell ref="A2:M2"/>
    <mergeCell ref="A3:F3"/>
  </mergeCells>
  <dataValidations count="4">
    <dataValidation type="list" allowBlank="1" sqref="G10:G300">
      <formula1>"Tinggi,Sedang,Rendah"</formula1>
    </dataValidation>
    <dataValidation type="list" allowBlank="1" sqref="G5:G300">
      <formula1>"Tinggi,Sedang,Rendah"</formula1>
    </dataValidation>
    <dataValidation type="list" allowBlank="1" sqref="K10:K300">
      <formula1>"Usulan,Prototipe siap,Perlu konfirmasi,Disetujui,Dikerjakan developer,Selesai,Ditunda"</formula1>
    </dataValidation>
    <dataValidation type="list" allowBlank="1" sqref="K5:K300">
      <formula1>"Usulan,Prototipe siap,Perlu konfirmasi,Disetujui,Dikerjakan developer,Selesai,Ditunda"</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0"/>
  <sheetViews>
    <sheetView workbookViewId="0">
      <pane xSplit="2" ySplit="4" topLeftCell="C5" activePane="bottomRight" state="frozen"/>
      <selection pane="bottomRight"/>
    </sheetView>
  </sheetViews>
  <sheetFormatPr defaultRowHeight="15" outlineLevelRow="0" outlineLevelCol="0" x14ac:dyDescent="55"/>
  <cols>
    <col min="1" max="1" width="5" customWidth="1"/>
    <col min="2" max="2" width="13" customWidth="1"/>
    <col min="3" max="3" width="24" customWidth="1"/>
    <col min="4" max="4" width="30" customWidth="1"/>
    <col min="5" max="5" width="45" customWidth="1"/>
    <col min="6" max="6" width="55" customWidth="1"/>
    <col min="7" max="7" width="10" customWidth="1"/>
    <col min="8" max="8" width="28" customWidth="1"/>
    <col min="9" max="9" width="40" customWidth="1"/>
    <col min="10" max="10" width="45" customWidth="1"/>
    <col min="11" max="11" width="16" customWidth="1"/>
    <col min="12" max="12" width="32" customWidth="1"/>
    <col min="13" max="13" width="12" customWidth="1"/>
  </cols>
  <sheetData>
    <row r="1" ht="22" customHeight="1" spans="1:13" x14ac:dyDescent="0.25">
      <c r="A1" s="1" t="s">
        <v>1347</v>
      </c>
      <c r="B1" s="1"/>
      <c r="C1" s="1"/>
      <c r="D1" s="1"/>
      <c r="E1" s="1"/>
      <c r="F1" s="1"/>
      <c r="G1" s="1"/>
      <c r="H1" s="1"/>
      <c r="I1" s="1"/>
      <c r="J1" s="1"/>
      <c r="K1" s="1"/>
      <c r="L1" s="1"/>
      <c r="M1" s="1"/>
    </row>
    <row r="2" spans="1:13" x14ac:dyDescent="0.25">
      <c r="A2" s="2" t="s">
        <v>1348</v>
      </c>
      <c r="B2" s="2"/>
      <c r="C2" s="2"/>
      <c r="D2" s="2"/>
      <c r="E2" s="2"/>
      <c r="F2" s="2"/>
      <c r="G2" s="2"/>
      <c r="H2" s="2"/>
      <c r="I2" s="2"/>
      <c r="J2" s="2"/>
      <c r="K2" s="2"/>
      <c r="L2" s="2"/>
      <c r="M2" s="2"/>
    </row>
    <row r="3" ht="18" customHeight="1" spans="1:6" x14ac:dyDescent="0.25">
      <c r="A3" s="9" t="str">
        <f>HYPERLINK("https://he-eppat.vercel.app/index.html#platform","Situs prototipe: https://he-eppat.vercel.app/  ·  Buka daftar prototipe kelompok ini")</f>
        <v>Situs prototipe: https://he-eppat.vercel.app/  ·  Buka daftar prototipe kelompok ini</v>
      </c>
      <c r="B3" s="9"/>
      <c r="C3" s="9"/>
      <c r="D3" s="9"/>
      <c r="E3" s="9"/>
      <c r="F3" s="9"/>
    </row>
    <row r="4" ht="30" customHeight="1" spans="1:13" x14ac:dyDescent="0.25">
      <c r="A4" s="4" t="s">
        <v>3</v>
      </c>
      <c r="B4" s="4" t="s">
        <v>517</v>
      </c>
      <c r="C4" s="4" t="s">
        <v>1093</v>
      </c>
      <c r="D4" s="4" t="s">
        <v>1094</v>
      </c>
      <c r="E4" s="4" t="s">
        <v>521</v>
      </c>
      <c r="F4" s="4" t="s">
        <v>1095</v>
      </c>
      <c r="G4" s="4" t="s">
        <v>525</v>
      </c>
      <c r="H4" s="4" t="s">
        <v>526</v>
      </c>
      <c r="I4" s="4" t="s">
        <v>8</v>
      </c>
      <c r="J4" s="4" t="s">
        <v>527</v>
      </c>
      <c r="K4" s="4" t="s">
        <v>528</v>
      </c>
      <c r="L4" s="4" t="s">
        <v>529</v>
      </c>
      <c r="M4" s="4" t="s">
        <v>530</v>
      </c>
    </row>
    <row r="5" spans="1:13" x14ac:dyDescent="0.25">
      <c r="A5" s="10">
        <v>1</v>
      </c>
      <c r="B5" s="11" t="s">
        <v>1349</v>
      </c>
      <c r="C5" s="10" t="s">
        <v>1350</v>
      </c>
      <c r="D5" s="10" t="s">
        <v>1351</v>
      </c>
      <c r="E5" s="10" t="s">
        <v>1352</v>
      </c>
      <c r="F5" s="10" t="s">
        <v>1353</v>
      </c>
      <c r="G5" s="10" t="s">
        <v>567</v>
      </c>
      <c r="H5" s="10" t="s">
        <v>1354</v>
      </c>
      <c r="I5" s="10" t="str">
        <f>HYPERLINK("https://he-eppat.vercel.app/Backlog-IDDS-PL-MASUK-Prototype.html","https://he-eppat.vercel.app/Backlog-IDDS-PL-MASUK-Prototype.html")</f>
        <v>https://he-eppat.vercel.app/Backlog-IDDS-PL-MASUK-Prototype.html</v>
      </c>
      <c r="J5" s="10" t="s">
        <v>1355</v>
      </c>
      <c r="K5" s="12" t="s">
        <v>541</v>
      </c>
      <c r="L5" s="12" t="s">
        <v>1356</v>
      </c>
      <c r="M5" s="13">
        <v>46321</v>
      </c>
    </row>
    <row r="6" spans="1:13" x14ac:dyDescent="0.25">
      <c r="A6" s="14">
        <v>2</v>
      </c>
      <c r="B6" s="15" t="s">
        <v>1357</v>
      </c>
      <c r="C6" s="14" t="s">
        <v>1350</v>
      </c>
      <c r="D6" s="14" t="s">
        <v>1358</v>
      </c>
      <c r="E6" s="14" t="s">
        <v>1359</v>
      </c>
      <c r="F6" s="14" t="s">
        <v>1360</v>
      </c>
      <c r="G6" s="14" t="s">
        <v>567</v>
      </c>
      <c r="H6" s="14" t="s">
        <v>1354</v>
      </c>
      <c r="I6" s="14" t="str">
        <f>HYPERLINK("https://he-eppat.vercel.app/Backlog-IDDS-PL-MASUK-Prototype.html","https://he-eppat.vercel.app/Backlog-IDDS-PL-MASUK-Prototype.html")</f>
        <v>https://he-eppat.vercel.app/Backlog-IDDS-PL-MASUK-Prototype.html</v>
      </c>
      <c r="J6" s="14" t="s">
        <v>1361</v>
      </c>
      <c r="K6" s="12" t="s">
        <v>541</v>
      </c>
      <c r="L6" s="12" t="s">
        <v>1356</v>
      </c>
      <c r="M6" s="16">
        <v>46321</v>
      </c>
    </row>
    <row r="7" spans="1:13" x14ac:dyDescent="0.25">
      <c r="A7" s="10">
        <v>3</v>
      </c>
      <c r="B7" s="11" t="s">
        <v>1362</v>
      </c>
      <c r="C7" s="10" t="s">
        <v>1350</v>
      </c>
      <c r="D7" s="10" t="s">
        <v>1363</v>
      </c>
      <c r="E7" s="10" t="s">
        <v>1364</v>
      </c>
      <c r="F7" s="10" t="s">
        <v>1365</v>
      </c>
      <c r="G7" s="10" t="s">
        <v>567</v>
      </c>
      <c r="H7" s="10" t="s">
        <v>1354</v>
      </c>
      <c r="I7" s="10" t="str">
        <f>HYPERLINK("https://he-eppat.vercel.app/Backlog-IDDS-PL-MASUK-Prototype.html","https://he-eppat.vercel.app/Backlog-IDDS-PL-MASUK-Prototype.html")</f>
        <v>https://he-eppat.vercel.app/Backlog-IDDS-PL-MASUK-Prototype.html</v>
      </c>
      <c r="J7" s="10" t="s">
        <v>1366</v>
      </c>
      <c r="K7" s="12" t="s">
        <v>541</v>
      </c>
      <c r="L7" s="12" t="s">
        <v>1356</v>
      </c>
      <c r="M7" s="13">
        <v>46321</v>
      </c>
    </row>
    <row r="8" spans="1:13" x14ac:dyDescent="0.25">
      <c r="A8" s="14">
        <v>4</v>
      </c>
      <c r="B8" s="15" t="s">
        <v>1367</v>
      </c>
      <c r="C8" s="14" t="s">
        <v>1350</v>
      </c>
      <c r="D8" s="14" t="s">
        <v>1368</v>
      </c>
      <c r="E8" s="14" t="s">
        <v>1369</v>
      </c>
      <c r="F8" s="14" t="s">
        <v>1370</v>
      </c>
      <c r="G8" s="14" t="s">
        <v>567</v>
      </c>
      <c r="H8" s="14" t="s">
        <v>1354</v>
      </c>
      <c r="I8" s="14" t="str">
        <f>HYPERLINK("https://he-eppat.vercel.app/Backlog-IDDS-PL-MASUK-Prototype.html","https://he-eppat.vercel.app/Backlog-IDDS-PL-MASUK-Prototype.html")</f>
        <v>https://he-eppat.vercel.app/Backlog-IDDS-PL-MASUK-Prototype.html</v>
      </c>
      <c r="J8" s="14" t="s">
        <v>1371</v>
      </c>
      <c r="K8" s="12" t="s">
        <v>541</v>
      </c>
      <c r="L8" s="12" t="s">
        <v>1356</v>
      </c>
      <c r="M8" s="16">
        <v>46321</v>
      </c>
    </row>
    <row r="9" spans="1:13" x14ac:dyDescent="0.25">
      <c r="A9" s="10">
        <v>5</v>
      </c>
      <c r="B9" s="11" t="s">
        <v>1372</v>
      </c>
      <c r="C9" s="10" t="s">
        <v>1350</v>
      </c>
      <c r="D9" s="10" t="s">
        <v>1373</v>
      </c>
      <c r="E9" s="10" t="s">
        <v>1374</v>
      </c>
      <c r="F9" s="10" t="s">
        <v>1375</v>
      </c>
      <c r="G9" s="10" t="s">
        <v>567</v>
      </c>
      <c r="H9" s="10" t="s">
        <v>1354</v>
      </c>
      <c r="I9" s="10" t="str">
        <f>HYPERLINK("https://he-eppat.vercel.app/Backlog-IDDS-PL-MASUK-Prototype.html","https://he-eppat.vercel.app/Backlog-IDDS-PL-MASUK-Prototype.html")</f>
        <v>https://he-eppat.vercel.app/Backlog-IDDS-PL-MASUK-Prototype.html</v>
      </c>
      <c r="J9" s="10" t="s">
        <v>1376</v>
      </c>
      <c r="K9" s="12" t="s">
        <v>541</v>
      </c>
      <c r="L9" s="12" t="s">
        <v>1356</v>
      </c>
      <c r="M9" s="13">
        <v>46321</v>
      </c>
    </row>
    <row r="10" spans="1:13" x14ac:dyDescent="0.25">
      <c r="A10" s="14">
        <v>6</v>
      </c>
      <c r="B10" s="15" t="s">
        <v>1377</v>
      </c>
      <c r="C10" s="14" t="s">
        <v>1350</v>
      </c>
      <c r="D10" s="14" t="s">
        <v>1378</v>
      </c>
      <c r="E10" s="14" t="s">
        <v>1379</v>
      </c>
      <c r="F10" s="14" t="s">
        <v>1380</v>
      </c>
      <c r="G10" s="14" t="s">
        <v>567</v>
      </c>
      <c r="H10" s="14" t="s">
        <v>1354</v>
      </c>
      <c r="I10" s="14" t="str">
        <f>HYPERLINK("https://he-eppat.vercel.app/Backlog-IDDS-PL-MASUK-Prototype.html","https://he-eppat.vercel.app/Backlog-IDDS-PL-MASUK-Prototype.html")</f>
        <v>https://he-eppat.vercel.app/Backlog-IDDS-PL-MASUK-Prototype.html</v>
      </c>
      <c r="J10" s="14" t="s">
        <v>1381</v>
      </c>
      <c r="K10" s="12" t="s">
        <v>541</v>
      </c>
      <c r="L10" s="12" t="s">
        <v>1356</v>
      </c>
      <c r="M10" s="16">
        <v>46321</v>
      </c>
    </row>
    <row r="11" spans="1:13" x14ac:dyDescent="0.25">
      <c r="A11" s="10">
        <v>7</v>
      </c>
      <c r="B11" s="11" t="s">
        <v>1382</v>
      </c>
      <c r="C11" s="10" t="s">
        <v>1350</v>
      </c>
      <c r="D11" s="10" t="s">
        <v>1383</v>
      </c>
      <c r="E11" s="10" t="s">
        <v>1384</v>
      </c>
      <c r="F11" s="10" t="s">
        <v>1385</v>
      </c>
      <c r="G11" s="10" t="s">
        <v>567</v>
      </c>
      <c r="H11" s="10" t="s">
        <v>1354</v>
      </c>
      <c r="I11" s="10" t="str">
        <f>HYPERLINK("https://he-eppat.vercel.app/Backlog-IDDS-PL-MASUK-Prototype.html","https://he-eppat.vercel.app/Backlog-IDDS-PL-MASUK-Prototype.html")</f>
        <v>https://he-eppat.vercel.app/Backlog-IDDS-PL-MASUK-Prototype.html</v>
      </c>
      <c r="J11" s="10" t="s">
        <v>1386</v>
      </c>
      <c r="K11" s="12" t="s">
        <v>541</v>
      </c>
      <c r="L11" s="12" t="s">
        <v>1356</v>
      </c>
      <c r="M11" s="13">
        <v>46321</v>
      </c>
    </row>
    <row r="12" spans="1:13" x14ac:dyDescent="0.25">
      <c r="A12" s="14">
        <v>8</v>
      </c>
      <c r="B12" s="15" t="s">
        <v>1387</v>
      </c>
      <c r="C12" s="14" t="s">
        <v>1350</v>
      </c>
      <c r="D12" s="14" t="s">
        <v>1388</v>
      </c>
      <c r="E12" s="14" t="s">
        <v>1389</v>
      </c>
      <c r="F12" s="14" t="s">
        <v>1390</v>
      </c>
      <c r="G12" s="14" t="s">
        <v>567</v>
      </c>
      <c r="H12" s="14" t="s">
        <v>1354</v>
      </c>
      <c r="I12" s="14" t="str">
        <f>HYPERLINK("https://he-eppat.vercel.app/Backlog-IDDS-PL-MASUK-Prototype.html","https://he-eppat.vercel.app/Backlog-IDDS-PL-MASUK-Prototype.html")</f>
        <v>https://he-eppat.vercel.app/Backlog-IDDS-PL-MASUK-Prototype.html</v>
      </c>
      <c r="J12" s="14" t="s">
        <v>1391</v>
      </c>
      <c r="K12" s="12" t="s">
        <v>541</v>
      </c>
      <c r="L12" s="12" t="s">
        <v>1356</v>
      </c>
      <c r="M12" s="16">
        <v>46321</v>
      </c>
    </row>
    <row r="13" spans="1:13" x14ac:dyDescent="0.25">
      <c r="A13" s="10">
        <v>9</v>
      </c>
      <c r="B13" s="11" t="s">
        <v>1392</v>
      </c>
      <c r="C13" s="10" t="s">
        <v>1350</v>
      </c>
      <c r="D13" s="10" t="s">
        <v>1393</v>
      </c>
      <c r="E13" s="10" t="s">
        <v>1394</v>
      </c>
      <c r="F13" s="10" t="s">
        <v>1395</v>
      </c>
      <c r="G13" s="10" t="s">
        <v>567</v>
      </c>
      <c r="H13" s="10" t="s">
        <v>1354</v>
      </c>
      <c r="I13" s="10" t="str">
        <f>HYPERLINK("https://he-eppat.vercel.app/Backlog-IDDS-PL-MASUK-Prototype.html","https://he-eppat.vercel.app/Backlog-IDDS-PL-MASUK-Prototype.html")</f>
        <v>https://he-eppat.vercel.app/Backlog-IDDS-PL-MASUK-Prototype.html</v>
      </c>
      <c r="J13" s="10" t="s">
        <v>1396</v>
      </c>
      <c r="K13" s="12" t="s">
        <v>541</v>
      </c>
      <c r="L13" s="12" t="s">
        <v>1356</v>
      </c>
      <c r="M13" s="13">
        <v>46321</v>
      </c>
    </row>
    <row r="14" spans="1:13" x14ac:dyDescent="0.25">
      <c r="A14" s="14">
        <v>10</v>
      </c>
      <c r="B14" s="15" t="s">
        <v>1397</v>
      </c>
      <c r="C14" s="14" t="s">
        <v>1350</v>
      </c>
      <c r="D14" s="14" t="s">
        <v>1398</v>
      </c>
      <c r="E14" s="14" t="s">
        <v>1399</v>
      </c>
      <c r="F14" s="14" t="s">
        <v>1400</v>
      </c>
      <c r="G14" s="14" t="s">
        <v>567</v>
      </c>
      <c r="H14" s="14" t="s">
        <v>1354</v>
      </c>
      <c r="I14" s="14" t="str">
        <f>HYPERLINK("https://he-eppat.vercel.app/Backlog-IDDS-PL-MASUK-Prototype.html","https://he-eppat.vercel.app/Backlog-IDDS-PL-MASUK-Prototype.html")</f>
        <v>https://he-eppat.vercel.app/Backlog-IDDS-PL-MASUK-Prototype.html</v>
      </c>
      <c r="J14" s="14" t="s">
        <v>1401</v>
      </c>
      <c r="K14" s="12" t="s">
        <v>541</v>
      </c>
      <c r="L14" s="12" t="s">
        <v>1356</v>
      </c>
      <c r="M14" s="16">
        <v>46321</v>
      </c>
    </row>
    <row r="15" spans="1:13" x14ac:dyDescent="0.25">
      <c r="A15" s="10">
        <v>11</v>
      </c>
      <c r="B15" s="11" t="s">
        <v>1402</v>
      </c>
      <c r="C15" s="10" t="s">
        <v>1403</v>
      </c>
      <c r="D15" s="10" t="s">
        <v>1404</v>
      </c>
      <c r="E15" s="10" t="s">
        <v>1405</v>
      </c>
      <c r="F15" s="10" t="s">
        <v>1406</v>
      </c>
      <c r="G15" s="10" t="s">
        <v>567</v>
      </c>
      <c r="H15" s="10" t="s">
        <v>1407</v>
      </c>
      <c r="I15" s="10" t="str">
        <f>HYPERLINK("https://he-eppat.vercel.app/Backlog-IDDS-PL-MONITORING-Prototype.html","https://he-eppat.vercel.app/Backlog-IDDS-PL-MONITORING-Prototype.html")</f>
        <v>https://he-eppat.vercel.app/Backlog-IDDS-PL-MONITORING-Prototype.html</v>
      </c>
      <c r="J15" s="10" t="s">
        <v>1408</v>
      </c>
      <c r="K15" s="12" t="s">
        <v>541</v>
      </c>
      <c r="L15" s="12" t="s">
        <v>1409</v>
      </c>
      <c r="M15" s="13">
        <v>46321</v>
      </c>
    </row>
    <row r="16" spans="1:13" x14ac:dyDescent="0.25">
      <c r="A16" s="14">
        <v>12</v>
      </c>
      <c r="B16" s="15" t="s">
        <v>1410</v>
      </c>
      <c r="C16" s="14" t="s">
        <v>1403</v>
      </c>
      <c r="D16" s="14" t="s">
        <v>1411</v>
      </c>
      <c r="E16" s="14" t="s">
        <v>1412</v>
      </c>
      <c r="F16" s="14" t="s">
        <v>1413</v>
      </c>
      <c r="G16" s="14" t="s">
        <v>567</v>
      </c>
      <c r="H16" s="14" t="s">
        <v>1407</v>
      </c>
      <c r="I16" s="14" t="str">
        <f>HYPERLINK("https://he-eppat.vercel.app/Backlog-IDDS-PL-MONITORING-Prototype.html","https://he-eppat.vercel.app/Backlog-IDDS-PL-MONITORING-Prototype.html")</f>
        <v>https://he-eppat.vercel.app/Backlog-IDDS-PL-MONITORING-Prototype.html</v>
      </c>
      <c r="J16" s="14" t="s">
        <v>1414</v>
      </c>
      <c r="K16" s="12" t="s">
        <v>541</v>
      </c>
      <c r="L16" s="12" t="s">
        <v>1409</v>
      </c>
      <c r="M16" s="16">
        <v>46321</v>
      </c>
    </row>
    <row r="17" spans="1:13" x14ac:dyDescent="0.25">
      <c r="A17" s="10">
        <v>13</v>
      </c>
      <c r="B17" s="11" t="s">
        <v>1415</v>
      </c>
      <c r="C17" s="10" t="s">
        <v>1403</v>
      </c>
      <c r="D17" s="10" t="s">
        <v>1416</v>
      </c>
      <c r="E17" s="10" t="s">
        <v>1417</v>
      </c>
      <c r="F17" s="10" t="s">
        <v>1418</v>
      </c>
      <c r="G17" s="10" t="s">
        <v>567</v>
      </c>
      <c r="H17" s="10" t="s">
        <v>1407</v>
      </c>
      <c r="I17" s="10" t="str">
        <f>HYPERLINK("https://he-eppat.vercel.app/Backlog-IDDS-PL-MONITORING-Prototype.html","https://he-eppat.vercel.app/Backlog-IDDS-PL-MONITORING-Prototype.html")</f>
        <v>https://he-eppat.vercel.app/Backlog-IDDS-PL-MONITORING-Prototype.html</v>
      </c>
      <c r="J17" s="10" t="s">
        <v>1419</v>
      </c>
      <c r="K17" s="12" t="s">
        <v>541</v>
      </c>
      <c r="L17" s="12" t="s">
        <v>1409</v>
      </c>
      <c r="M17" s="13">
        <v>46321</v>
      </c>
    </row>
    <row r="18" spans="1:13" x14ac:dyDescent="0.25">
      <c r="A18" s="14">
        <v>14</v>
      </c>
      <c r="B18" s="15" t="s">
        <v>1420</v>
      </c>
      <c r="C18" s="14" t="s">
        <v>1403</v>
      </c>
      <c r="D18" s="14" t="s">
        <v>1421</v>
      </c>
      <c r="E18" s="14" t="s">
        <v>1422</v>
      </c>
      <c r="F18" s="14" t="s">
        <v>1423</v>
      </c>
      <c r="G18" s="14" t="s">
        <v>567</v>
      </c>
      <c r="H18" s="14" t="s">
        <v>1407</v>
      </c>
      <c r="I18" s="14" t="str">
        <f>HYPERLINK("https://he-eppat.vercel.app/Backlog-IDDS-PL-MONITORING-Prototype.html","https://he-eppat.vercel.app/Backlog-IDDS-PL-MONITORING-Prototype.html")</f>
        <v>https://he-eppat.vercel.app/Backlog-IDDS-PL-MONITORING-Prototype.html</v>
      </c>
      <c r="J18" s="14" t="s">
        <v>1424</v>
      </c>
      <c r="K18" s="12" t="s">
        <v>541</v>
      </c>
      <c r="L18" s="12" t="s">
        <v>1409</v>
      </c>
      <c r="M18" s="16">
        <v>46321</v>
      </c>
    </row>
    <row r="19" spans="1:13" x14ac:dyDescent="0.25">
      <c r="A19" s="10">
        <v>15</v>
      </c>
      <c r="B19" s="11" t="s">
        <v>1425</v>
      </c>
      <c r="C19" s="10" t="s">
        <v>1403</v>
      </c>
      <c r="D19" s="10" t="s">
        <v>1426</v>
      </c>
      <c r="E19" s="10" t="s">
        <v>1427</v>
      </c>
      <c r="F19" s="10" t="s">
        <v>1428</v>
      </c>
      <c r="G19" s="10" t="s">
        <v>567</v>
      </c>
      <c r="H19" s="10" t="s">
        <v>1407</v>
      </c>
      <c r="I19" s="10" t="str">
        <f>HYPERLINK("https://he-eppat.vercel.app/Backlog-IDDS-PL-MONITORING-Prototype.html","https://he-eppat.vercel.app/Backlog-IDDS-PL-MONITORING-Prototype.html")</f>
        <v>https://he-eppat.vercel.app/Backlog-IDDS-PL-MONITORING-Prototype.html</v>
      </c>
      <c r="J19" s="10" t="s">
        <v>1429</v>
      </c>
      <c r="K19" s="12" t="s">
        <v>541</v>
      </c>
      <c r="L19" s="12" t="s">
        <v>1409</v>
      </c>
      <c r="M19" s="13">
        <v>46321</v>
      </c>
    </row>
    <row r="20" spans="1:13" x14ac:dyDescent="0.25">
      <c r="A20" s="14">
        <v>16</v>
      </c>
      <c r="B20" s="15" t="s">
        <v>1430</v>
      </c>
      <c r="C20" s="14" t="s">
        <v>1403</v>
      </c>
      <c r="D20" s="14" t="s">
        <v>1431</v>
      </c>
      <c r="E20" s="14" t="s">
        <v>1432</v>
      </c>
      <c r="F20" s="14" t="s">
        <v>1433</v>
      </c>
      <c r="G20" s="14" t="s">
        <v>567</v>
      </c>
      <c r="H20" s="14" t="s">
        <v>1407</v>
      </c>
      <c r="I20" s="14" t="str">
        <f>HYPERLINK("https://he-eppat.vercel.app/Backlog-IDDS-PL-MONITORING-Prototype.html","https://he-eppat.vercel.app/Backlog-IDDS-PL-MONITORING-Prototype.html")</f>
        <v>https://he-eppat.vercel.app/Backlog-IDDS-PL-MONITORING-Prototype.html</v>
      </c>
      <c r="J20" s="14" t="s">
        <v>1434</v>
      </c>
      <c r="K20" s="12" t="s">
        <v>541</v>
      </c>
      <c r="L20" s="12" t="s">
        <v>1409</v>
      </c>
      <c r="M20" s="16">
        <v>46321</v>
      </c>
    </row>
    <row r="21" spans="1:13" x14ac:dyDescent="0.25">
      <c r="A21" s="10">
        <v>17</v>
      </c>
      <c r="B21" s="11" t="s">
        <v>1435</v>
      </c>
      <c r="C21" s="10" t="s">
        <v>1403</v>
      </c>
      <c r="D21" s="10" t="s">
        <v>1436</v>
      </c>
      <c r="E21" s="10" t="s">
        <v>1437</v>
      </c>
      <c r="F21" s="10" t="s">
        <v>1438</v>
      </c>
      <c r="G21" s="10" t="s">
        <v>567</v>
      </c>
      <c r="H21" s="10" t="s">
        <v>1407</v>
      </c>
      <c r="I21" s="10" t="str">
        <f>HYPERLINK("https://he-eppat.vercel.app/Backlog-IDDS-PL-MONITORING-Prototype.html","https://he-eppat.vercel.app/Backlog-IDDS-PL-MONITORING-Prototype.html")</f>
        <v>https://he-eppat.vercel.app/Backlog-IDDS-PL-MONITORING-Prototype.html</v>
      </c>
      <c r="J21" s="10" t="s">
        <v>1439</v>
      </c>
      <c r="K21" s="12" t="s">
        <v>541</v>
      </c>
      <c r="L21" s="12" t="s">
        <v>1409</v>
      </c>
      <c r="M21" s="13">
        <v>46321</v>
      </c>
    </row>
    <row r="22" spans="1:13" x14ac:dyDescent="0.25">
      <c r="A22" s="14">
        <v>18</v>
      </c>
      <c r="B22" s="15" t="s">
        <v>1440</v>
      </c>
      <c r="C22" s="14" t="s">
        <v>1403</v>
      </c>
      <c r="D22" s="14" t="s">
        <v>1441</v>
      </c>
      <c r="E22" s="14" t="s">
        <v>1442</v>
      </c>
      <c r="F22" s="14" t="s">
        <v>1443</v>
      </c>
      <c r="G22" s="14" t="s">
        <v>567</v>
      </c>
      <c r="H22" s="14" t="s">
        <v>1407</v>
      </c>
      <c r="I22" s="14" t="str">
        <f>HYPERLINK("https://he-eppat.vercel.app/Backlog-IDDS-PL-MONITORING-Prototype.html","https://he-eppat.vercel.app/Backlog-IDDS-PL-MONITORING-Prototype.html")</f>
        <v>https://he-eppat.vercel.app/Backlog-IDDS-PL-MONITORING-Prototype.html</v>
      </c>
      <c r="J22" s="14" t="s">
        <v>1444</v>
      </c>
      <c r="K22" s="12" t="s">
        <v>541</v>
      </c>
      <c r="L22" s="12" t="s">
        <v>1409</v>
      </c>
      <c r="M22" s="16">
        <v>46321</v>
      </c>
    </row>
    <row r="23" spans="1:13" x14ac:dyDescent="0.25">
      <c r="A23" s="10">
        <v>19</v>
      </c>
      <c r="B23" s="11" t="s">
        <v>1445</v>
      </c>
      <c r="C23" s="10" t="s">
        <v>1403</v>
      </c>
      <c r="D23" s="10" t="s">
        <v>1446</v>
      </c>
      <c r="E23" s="10" t="s">
        <v>1447</v>
      </c>
      <c r="F23" s="10" t="s">
        <v>1448</v>
      </c>
      <c r="G23" s="10" t="s">
        <v>567</v>
      </c>
      <c r="H23" s="10" t="s">
        <v>1407</v>
      </c>
      <c r="I23" s="10" t="str">
        <f>HYPERLINK("https://he-eppat.vercel.app/Backlog-IDDS-PL-MONITORING-Prototype.html","https://he-eppat.vercel.app/Backlog-IDDS-PL-MONITORING-Prototype.html")</f>
        <v>https://he-eppat.vercel.app/Backlog-IDDS-PL-MONITORING-Prototype.html</v>
      </c>
      <c r="J23" s="10" t="s">
        <v>1449</v>
      </c>
      <c r="K23" s="12" t="s">
        <v>541</v>
      </c>
      <c r="L23" s="12" t="s">
        <v>1409</v>
      </c>
      <c r="M23" s="13">
        <v>46321</v>
      </c>
    </row>
    <row r="24" spans="1:13" x14ac:dyDescent="0.25">
      <c r="A24" s="14">
        <v>20</v>
      </c>
      <c r="B24" s="15" t="s">
        <v>1450</v>
      </c>
      <c r="C24" s="14" t="s">
        <v>1403</v>
      </c>
      <c r="D24" s="14" t="s">
        <v>1451</v>
      </c>
      <c r="E24" s="14" t="s">
        <v>1452</v>
      </c>
      <c r="F24" s="14" t="s">
        <v>1453</v>
      </c>
      <c r="G24" s="14" t="s">
        <v>567</v>
      </c>
      <c r="H24" s="14" t="s">
        <v>1407</v>
      </c>
      <c r="I24" s="14" t="str">
        <f>HYPERLINK("https://he-eppat.vercel.app/Backlog-IDDS-PL-MONITORING-Prototype.html","https://he-eppat.vercel.app/Backlog-IDDS-PL-MONITORING-Prototype.html")</f>
        <v>https://he-eppat.vercel.app/Backlog-IDDS-PL-MONITORING-Prototype.html</v>
      </c>
      <c r="J24" s="14" t="s">
        <v>1454</v>
      </c>
      <c r="K24" s="12" t="s">
        <v>541</v>
      </c>
      <c r="L24" s="12" t="s">
        <v>1409</v>
      </c>
      <c r="M24" s="16">
        <v>46321</v>
      </c>
    </row>
    <row r="25" spans="1:13" x14ac:dyDescent="0.25">
      <c r="A25" s="10">
        <v>21</v>
      </c>
      <c r="B25" s="11" t="s">
        <v>1455</v>
      </c>
      <c r="C25" s="10" t="s">
        <v>1456</v>
      </c>
      <c r="D25" s="10" t="s">
        <v>1457</v>
      </c>
      <c r="E25" s="10" t="s">
        <v>1458</v>
      </c>
      <c r="F25" s="10" t="s">
        <v>1459</v>
      </c>
      <c r="G25" s="10" t="s">
        <v>567</v>
      </c>
      <c r="H25" s="10" t="s">
        <v>1460</v>
      </c>
      <c r="I25" s="10" t="str">
        <f>HYPERLINK("https://he-eppat.vercel.app/Backlog-IDDS-PL-AKTA-Prototype.html","https://he-eppat.vercel.app/Backlog-IDDS-PL-AKTA-Prototype.html")</f>
        <v>https://he-eppat.vercel.app/Backlog-IDDS-PL-AKTA-Prototype.html</v>
      </c>
      <c r="J25" s="10" t="s">
        <v>1461</v>
      </c>
      <c r="K25" s="12" t="s">
        <v>541</v>
      </c>
      <c r="L25" s="12" t="s">
        <v>27</v>
      </c>
      <c r="M25" s="13">
        <v>46321</v>
      </c>
    </row>
    <row r="26" spans="1:13" x14ac:dyDescent="0.25">
      <c r="A26" s="14">
        <v>22</v>
      </c>
      <c r="B26" s="15" t="s">
        <v>1462</v>
      </c>
      <c r="C26" s="14" t="s">
        <v>1456</v>
      </c>
      <c r="D26" s="14" t="s">
        <v>1463</v>
      </c>
      <c r="E26" s="14" t="s">
        <v>1464</v>
      </c>
      <c r="F26" s="14" t="s">
        <v>1465</v>
      </c>
      <c r="G26" s="14" t="s">
        <v>567</v>
      </c>
      <c r="H26" s="14" t="s">
        <v>1460</v>
      </c>
      <c r="I26" s="14" t="str">
        <f>HYPERLINK("https://he-eppat.vercel.app/Backlog-IDDS-PL-AKTA-Prototype.html","https://he-eppat.vercel.app/Backlog-IDDS-PL-AKTA-Prototype.html")</f>
        <v>https://he-eppat.vercel.app/Backlog-IDDS-PL-AKTA-Prototype.html</v>
      </c>
      <c r="J26" s="14" t="s">
        <v>1466</v>
      </c>
      <c r="K26" s="12" t="s">
        <v>541</v>
      </c>
      <c r="L26" s="12" t="s">
        <v>27</v>
      </c>
      <c r="M26" s="16">
        <v>46321</v>
      </c>
    </row>
    <row r="27" spans="1:13" x14ac:dyDescent="0.25">
      <c r="A27" s="10">
        <v>23</v>
      </c>
      <c r="B27" s="11" t="s">
        <v>1467</v>
      </c>
      <c r="C27" s="10" t="s">
        <v>1456</v>
      </c>
      <c r="D27" s="10" t="s">
        <v>1468</v>
      </c>
      <c r="E27" s="10" t="s">
        <v>1469</v>
      </c>
      <c r="F27" s="10" t="s">
        <v>1470</v>
      </c>
      <c r="G27" s="10" t="s">
        <v>567</v>
      </c>
      <c r="H27" s="10" t="s">
        <v>1460</v>
      </c>
      <c r="I27" s="10" t="str">
        <f>HYPERLINK("https://he-eppat.vercel.app/Backlog-IDDS-PL-AKTA-Prototype.html","https://he-eppat.vercel.app/Backlog-IDDS-PL-AKTA-Prototype.html")</f>
        <v>https://he-eppat.vercel.app/Backlog-IDDS-PL-AKTA-Prototype.html</v>
      </c>
      <c r="J27" s="10" t="s">
        <v>1471</v>
      </c>
      <c r="K27" s="12" t="s">
        <v>541</v>
      </c>
      <c r="L27" s="12" t="s">
        <v>27</v>
      </c>
      <c r="M27" s="13">
        <v>46321</v>
      </c>
    </row>
    <row r="28" spans="1:13" x14ac:dyDescent="0.25">
      <c r="A28" s="14">
        <v>24</v>
      </c>
      <c r="B28" s="15" t="s">
        <v>1472</v>
      </c>
      <c r="C28" s="14" t="s">
        <v>1456</v>
      </c>
      <c r="D28" s="14" t="s">
        <v>1473</v>
      </c>
      <c r="E28" s="14" t="s">
        <v>1474</v>
      </c>
      <c r="F28" s="14" t="s">
        <v>1475</v>
      </c>
      <c r="G28" s="14" t="s">
        <v>567</v>
      </c>
      <c r="H28" s="14" t="s">
        <v>1460</v>
      </c>
      <c r="I28" s="14" t="str">
        <f>HYPERLINK("https://he-eppat.vercel.app/Backlog-IDDS-PL-AKTA-Prototype.html","https://he-eppat.vercel.app/Backlog-IDDS-PL-AKTA-Prototype.html")</f>
        <v>https://he-eppat.vercel.app/Backlog-IDDS-PL-AKTA-Prototype.html</v>
      </c>
      <c r="J28" s="14" t="s">
        <v>1476</v>
      </c>
      <c r="K28" s="12" t="s">
        <v>541</v>
      </c>
      <c r="L28" s="12" t="s">
        <v>27</v>
      </c>
      <c r="M28" s="16">
        <v>46321</v>
      </c>
    </row>
    <row r="29" spans="1:13" x14ac:dyDescent="0.25">
      <c r="A29" s="10">
        <v>25</v>
      </c>
      <c r="B29" s="11" t="s">
        <v>1477</v>
      </c>
      <c r="C29" s="10" t="s">
        <v>1456</v>
      </c>
      <c r="D29" s="10" t="s">
        <v>1478</v>
      </c>
      <c r="E29" s="10" t="s">
        <v>1479</v>
      </c>
      <c r="F29" s="10" t="s">
        <v>1480</v>
      </c>
      <c r="G29" s="10" t="s">
        <v>567</v>
      </c>
      <c r="H29" s="10" t="s">
        <v>1460</v>
      </c>
      <c r="I29" s="10" t="str">
        <f>HYPERLINK("https://he-eppat.vercel.app/Backlog-IDDS-PL-AKTA-Prototype.html","https://he-eppat.vercel.app/Backlog-IDDS-PL-AKTA-Prototype.html")</f>
        <v>https://he-eppat.vercel.app/Backlog-IDDS-PL-AKTA-Prototype.html</v>
      </c>
      <c r="J29" s="10" t="s">
        <v>1481</v>
      </c>
      <c r="K29" s="12" t="s">
        <v>541</v>
      </c>
      <c r="L29" s="12" t="s">
        <v>27</v>
      </c>
      <c r="M29" s="13">
        <v>46321</v>
      </c>
    </row>
    <row r="30" spans="1:13" x14ac:dyDescent="0.25">
      <c r="A30" s="14">
        <v>26</v>
      </c>
      <c r="B30" s="15" t="s">
        <v>1482</v>
      </c>
      <c r="C30" s="14" t="s">
        <v>1456</v>
      </c>
      <c r="D30" s="14" t="s">
        <v>1483</v>
      </c>
      <c r="E30" s="14" t="s">
        <v>1484</v>
      </c>
      <c r="F30" s="14" t="s">
        <v>1485</v>
      </c>
      <c r="G30" s="14" t="s">
        <v>567</v>
      </c>
      <c r="H30" s="14" t="s">
        <v>1460</v>
      </c>
      <c r="I30" s="14" t="str">
        <f>HYPERLINK("https://he-eppat.vercel.app/Backlog-IDDS-PL-AKTA-Prototype.html","https://he-eppat.vercel.app/Backlog-IDDS-PL-AKTA-Prototype.html")</f>
        <v>https://he-eppat.vercel.app/Backlog-IDDS-PL-AKTA-Prototype.html</v>
      </c>
      <c r="J30" s="14" t="s">
        <v>1486</v>
      </c>
      <c r="K30" s="12" t="s">
        <v>541</v>
      </c>
      <c r="L30" s="12" t="s">
        <v>27</v>
      </c>
      <c r="M30" s="16">
        <v>46321</v>
      </c>
    </row>
    <row r="31" spans="1:13" x14ac:dyDescent="0.25">
      <c r="A31" s="10">
        <v>27</v>
      </c>
      <c r="B31" s="11" t="s">
        <v>1487</v>
      </c>
      <c r="C31" s="10" t="s">
        <v>1456</v>
      </c>
      <c r="D31" s="10" t="s">
        <v>1488</v>
      </c>
      <c r="E31" s="10" t="s">
        <v>1489</v>
      </c>
      <c r="F31" s="10" t="s">
        <v>1490</v>
      </c>
      <c r="G31" s="10" t="s">
        <v>567</v>
      </c>
      <c r="H31" s="10" t="s">
        <v>1460</v>
      </c>
      <c r="I31" s="10" t="str">
        <f>HYPERLINK("https://he-eppat.vercel.app/Backlog-IDDS-PL-AKTA-Prototype.html","https://he-eppat.vercel.app/Backlog-IDDS-PL-AKTA-Prototype.html")</f>
        <v>https://he-eppat.vercel.app/Backlog-IDDS-PL-AKTA-Prototype.html</v>
      </c>
      <c r="J31" s="10" t="s">
        <v>1491</v>
      </c>
      <c r="K31" s="12" t="s">
        <v>541</v>
      </c>
      <c r="L31" s="12" t="s">
        <v>27</v>
      </c>
      <c r="M31" s="13">
        <v>46321</v>
      </c>
    </row>
    <row r="32" spans="1:13" x14ac:dyDescent="0.25">
      <c r="A32" s="14">
        <v>28</v>
      </c>
      <c r="B32" s="15" t="s">
        <v>1492</v>
      </c>
      <c r="C32" s="14" t="s">
        <v>1456</v>
      </c>
      <c r="D32" s="14" t="s">
        <v>1493</v>
      </c>
      <c r="E32" s="14" t="s">
        <v>1494</v>
      </c>
      <c r="F32" s="14" t="s">
        <v>1495</v>
      </c>
      <c r="G32" s="14" t="s">
        <v>567</v>
      </c>
      <c r="H32" s="14" t="s">
        <v>1460</v>
      </c>
      <c r="I32" s="14" t="str">
        <f>HYPERLINK("https://he-eppat.vercel.app/Backlog-IDDS-PL-AKTA-Prototype.html","https://he-eppat.vercel.app/Backlog-IDDS-PL-AKTA-Prototype.html")</f>
        <v>https://he-eppat.vercel.app/Backlog-IDDS-PL-AKTA-Prototype.html</v>
      </c>
      <c r="J32" s="14" t="s">
        <v>1496</v>
      </c>
      <c r="K32" s="12" t="s">
        <v>541</v>
      </c>
      <c r="L32" s="12" t="s">
        <v>27</v>
      </c>
      <c r="M32" s="16">
        <v>46321</v>
      </c>
    </row>
    <row r="33" spans="1:13" x14ac:dyDescent="0.25">
      <c r="A33" s="10">
        <v>29</v>
      </c>
      <c r="B33" s="11" t="s">
        <v>1497</v>
      </c>
      <c r="C33" s="10" t="s">
        <v>1456</v>
      </c>
      <c r="D33" s="10" t="s">
        <v>1498</v>
      </c>
      <c r="E33" s="10" t="s">
        <v>1499</v>
      </c>
      <c r="F33" s="10" t="s">
        <v>1500</v>
      </c>
      <c r="G33" s="10" t="s">
        <v>567</v>
      </c>
      <c r="H33" s="10" t="s">
        <v>1460</v>
      </c>
      <c r="I33" s="10" t="str">
        <f>HYPERLINK("https://he-eppat.vercel.app/Backlog-IDDS-PL-AKTA-Prototype.html","https://he-eppat.vercel.app/Backlog-IDDS-PL-AKTA-Prototype.html")</f>
        <v>https://he-eppat.vercel.app/Backlog-IDDS-PL-AKTA-Prototype.html</v>
      </c>
      <c r="J33" s="10" t="s">
        <v>1501</v>
      </c>
      <c r="K33" s="12" t="s">
        <v>541</v>
      </c>
      <c r="L33" s="12" t="s">
        <v>27</v>
      </c>
      <c r="M33" s="13">
        <v>46321</v>
      </c>
    </row>
    <row r="34" spans="1:13" x14ac:dyDescent="0.25">
      <c r="A34" s="14">
        <v>30</v>
      </c>
      <c r="B34" s="15" t="s">
        <v>1502</v>
      </c>
      <c r="C34" s="14" t="s">
        <v>1456</v>
      </c>
      <c r="D34" s="14" t="s">
        <v>1503</v>
      </c>
      <c r="E34" s="14" t="s">
        <v>1504</v>
      </c>
      <c r="F34" s="14" t="s">
        <v>1505</v>
      </c>
      <c r="G34" s="14" t="s">
        <v>567</v>
      </c>
      <c r="H34" s="14" t="s">
        <v>1460</v>
      </c>
      <c r="I34" s="14" t="str">
        <f>HYPERLINK("https://he-eppat.vercel.app/Backlog-IDDS-PL-AKTA-Prototype.html","https://he-eppat.vercel.app/Backlog-IDDS-PL-AKTA-Prototype.html")</f>
        <v>https://he-eppat.vercel.app/Backlog-IDDS-PL-AKTA-Prototype.html</v>
      </c>
      <c r="J34" s="14" t="s">
        <v>1506</v>
      </c>
      <c r="K34" s="12" t="s">
        <v>541</v>
      </c>
      <c r="L34" s="12" t="s">
        <v>27</v>
      </c>
      <c r="M34" s="16">
        <v>46321</v>
      </c>
    </row>
    <row r="35" spans="1:13" x14ac:dyDescent="0.25">
      <c r="A35" s="10">
        <v>31</v>
      </c>
      <c r="B35" s="11" t="s">
        <v>1507</v>
      </c>
      <c r="C35" s="10" t="s">
        <v>1508</v>
      </c>
      <c r="D35" s="10" t="s">
        <v>1509</v>
      </c>
      <c r="E35" s="10" t="s">
        <v>1510</v>
      </c>
      <c r="F35" s="10" t="s">
        <v>1511</v>
      </c>
      <c r="G35" s="10" t="s">
        <v>567</v>
      </c>
      <c r="H35" s="10" t="s">
        <v>1512</v>
      </c>
      <c r="I35" s="10" t="str">
        <f>HYPERLINK("https://he-eppat.vercel.app/Backlog-IDDS-PL-SISTEM-Prototype.html","https://he-eppat.vercel.app/Backlog-IDDS-PL-SISTEM-Prototype.html")</f>
        <v>https://he-eppat.vercel.app/Backlog-IDDS-PL-SISTEM-Prototype.html</v>
      </c>
      <c r="J35" s="10" t="s">
        <v>1513</v>
      </c>
      <c r="K35" s="12" t="s">
        <v>541</v>
      </c>
      <c r="L35" s="12" t="s">
        <v>1514</v>
      </c>
      <c r="M35" s="13">
        <v>46321</v>
      </c>
    </row>
    <row r="36" spans="1:13" x14ac:dyDescent="0.25">
      <c r="A36" s="14">
        <v>32</v>
      </c>
      <c r="B36" s="15" t="s">
        <v>1515</v>
      </c>
      <c r="C36" s="14" t="s">
        <v>1508</v>
      </c>
      <c r="D36" s="14" t="s">
        <v>1516</v>
      </c>
      <c r="E36" s="14" t="s">
        <v>1517</v>
      </c>
      <c r="F36" s="14" t="s">
        <v>1518</v>
      </c>
      <c r="G36" s="14" t="s">
        <v>567</v>
      </c>
      <c r="H36" s="14" t="s">
        <v>1512</v>
      </c>
      <c r="I36" s="14" t="str">
        <f>HYPERLINK("https://he-eppat.vercel.app/Backlog-IDDS-PL-SISTEM-Prototype.html","https://he-eppat.vercel.app/Backlog-IDDS-PL-SISTEM-Prototype.html")</f>
        <v>https://he-eppat.vercel.app/Backlog-IDDS-PL-SISTEM-Prototype.html</v>
      </c>
      <c r="J36" s="14" t="s">
        <v>1519</v>
      </c>
      <c r="K36" s="12" t="s">
        <v>541</v>
      </c>
      <c r="L36" s="12" t="s">
        <v>1514</v>
      </c>
      <c r="M36" s="16">
        <v>46321</v>
      </c>
    </row>
    <row r="37" spans="1:13" x14ac:dyDescent="0.25">
      <c r="A37" s="10">
        <v>33</v>
      </c>
      <c r="B37" s="11" t="s">
        <v>1520</v>
      </c>
      <c r="C37" s="10" t="s">
        <v>1508</v>
      </c>
      <c r="D37" s="10" t="s">
        <v>1521</v>
      </c>
      <c r="E37" s="10" t="s">
        <v>1522</v>
      </c>
      <c r="F37" s="10" t="s">
        <v>1523</v>
      </c>
      <c r="G37" s="10" t="s">
        <v>567</v>
      </c>
      <c r="H37" s="10" t="s">
        <v>1512</v>
      </c>
      <c r="I37" s="10" t="str">
        <f>HYPERLINK("https://he-eppat.vercel.app/Backlog-IDDS-PL-SISTEM-Prototype.html","https://he-eppat.vercel.app/Backlog-IDDS-PL-SISTEM-Prototype.html")</f>
        <v>https://he-eppat.vercel.app/Backlog-IDDS-PL-SISTEM-Prototype.html</v>
      </c>
      <c r="J37" s="10" t="s">
        <v>1524</v>
      </c>
      <c r="K37" s="12" t="s">
        <v>541</v>
      </c>
      <c r="L37" s="12" t="s">
        <v>1514</v>
      </c>
      <c r="M37" s="13">
        <v>46321</v>
      </c>
    </row>
    <row r="38" spans="1:13" x14ac:dyDescent="0.25">
      <c r="A38" s="14">
        <v>34</v>
      </c>
      <c r="B38" s="15" t="s">
        <v>1525</v>
      </c>
      <c r="C38" s="14" t="s">
        <v>1508</v>
      </c>
      <c r="D38" s="14" t="s">
        <v>1526</v>
      </c>
      <c r="E38" s="14" t="s">
        <v>1527</v>
      </c>
      <c r="F38" s="14" t="s">
        <v>1528</v>
      </c>
      <c r="G38" s="14" t="s">
        <v>567</v>
      </c>
      <c r="H38" s="14" t="s">
        <v>1512</v>
      </c>
      <c r="I38" s="14" t="str">
        <f>HYPERLINK("https://he-eppat.vercel.app/Backlog-IDDS-PL-SISTEM-Prototype.html","https://he-eppat.vercel.app/Backlog-IDDS-PL-SISTEM-Prototype.html")</f>
        <v>https://he-eppat.vercel.app/Backlog-IDDS-PL-SISTEM-Prototype.html</v>
      </c>
      <c r="J38" s="14" t="s">
        <v>1529</v>
      </c>
      <c r="K38" s="12" t="s">
        <v>541</v>
      </c>
      <c r="L38" s="12" t="s">
        <v>27</v>
      </c>
      <c r="M38" s="16">
        <v>46321</v>
      </c>
    </row>
    <row r="39" spans="1:13" x14ac:dyDescent="0.25">
      <c r="A39" s="10">
        <v>35</v>
      </c>
      <c r="B39" s="11" t="s">
        <v>1530</v>
      </c>
      <c r="C39" s="10" t="s">
        <v>1508</v>
      </c>
      <c r="D39" s="10" t="s">
        <v>1531</v>
      </c>
      <c r="E39" s="10" t="s">
        <v>1532</v>
      </c>
      <c r="F39" s="10" t="s">
        <v>1533</v>
      </c>
      <c r="G39" s="10" t="s">
        <v>567</v>
      </c>
      <c r="H39" s="10" t="s">
        <v>1512</v>
      </c>
      <c r="I39" s="10" t="str">
        <f>HYPERLINK("https://he-eppat.vercel.app/Backlog-IDDS-PL-SISTEM-Prototype.html","https://he-eppat.vercel.app/Backlog-IDDS-PL-SISTEM-Prototype.html")</f>
        <v>https://he-eppat.vercel.app/Backlog-IDDS-PL-SISTEM-Prototype.html</v>
      </c>
      <c r="J39" s="10" t="s">
        <v>1534</v>
      </c>
      <c r="K39" s="12" t="s">
        <v>541</v>
      </c>
      <c r="L39" s="12" t="s">
        <v>27</v>
      </c>
      <c r="M39" s="13">
        <v>46321</v>
      </c>
    </row>
    <row r="40" spans="1:13" x14ac:dyDescent="0.25">
      <c r="A40" s="14">
        <v>36</v>
      </c>
      <c r="B40" s="15" t="s">
        <v>1535</v>
      </c>
      <c r="C40" s="14" t="s">
        <v>1508</v>
      </c>
      <c r="D40" s="14" t="s">
        <v>1536</v>
      </c>
      <c r="E40" s="14" t="s">
        <v>1537</v>
      </c>
      <c r="F40" s="14" t="s">
        <v>1538</v>
      </c>
      <c r="G40" s="14" t="s">
        <v>567</v>
      </c>
      <c r="H40" s="14" t="s">
        <v>1512</v>
      </c>
      <c r="I40" s="14" t="str">
        <f>HYPERLINK("https://he-eppat.vercel.app/Backlog-IDDS-PL-SISTEM-Prototype.html","https://he-eppat.vercel.app/Backlog-IDDS-PL-SISTEM-Prototype.html")</f>
        <v>https://he-eppat.vercel.app/Backlog-IDDS-PL-SISTEM-Prototype.html</v>
      </c>
      <c r="J40" s="14" t="s">
        <v>1539</v>
      </c>
      <c r="K40" s="12" t="s">
        <v>541</v>
      </c>
      <c r="L40" s="12" t="s">
        <v>27</v>
      </c>
      <c r="M40" s="16">
        <v>46321</v>
      </c>
    </row>
    <row r="41" spans="1:13" x14ac:dyDescent="0.25">
      <c r="A41" s="10">
        <v>37</v>
      </c>
      <c r="B41" s="11" t="s">
        <v>1540</v>
      </c>
      <c r="C41" s="10" t="s">
        <v>1508</v>
      </c>
      <c r="D41" s="10" t="s">
        <v>1541</v>
      </c>
      <c r="E41" s="10" t="s">
        <v>1542</v>
      </c>
      <c r="F41" s="10" t="s">
        <v>1543</v>
      </c>
      <c r="G41" s="10" t="s">
        <v>567</v>
      </c>
      <c r="H41" s="10" t="s">
        <v>1512</v>
      </c>
      <c r="I41" s="10" t="str">
        <f>HYPERLINK("https://he-eppat.vercel.app/Backlog-IDDS-PL-SISTEM-Prototype.html","https://he-eppat.vercel.app/Backlog-IDDS-PL-SISTEM-Prototype.html")</f>
        <v>https://he-eppat.vercel.app/Backlog-IDDS-PL-SISTEM-Prototype.html</v>
      </c>
      <c r="J41" s="10" t="s">
        <v>1544</v>
      </c>
      <c r="K41" s="12" t="s">
        <v>541</v>
      </c>
      <c r="L41" s="12" t="s">
        <v>27</v>
      </c>
      <c r="M41" s="13">
        <v>46321</v>
      </c>
    </row>
    <row r="42" spans="1:13" x14ac:dyDescent="0.25">
      <c r="A42" s="14">
        <v>38</v>
      </c>
      <c r="B42" s="15" t="s">
        <v>1545</v>
      </c>
      <c r="C42" s="14" t="s">
        <v>1508</v>
      </c>
      <c r="D42" s="14" t="s">
        <v>1546</v>
      </c>
      <c r="E42" s="14" t="s">
        <v>1547</v>
      </c>
      <c r="F42" s="14" t="s">
        <v>1548</v>
      </c>
      <c r="G42" s="14" t="s">
        <v>567</v>
      </c>
      <c r="H42" s="14" t="s">
        <v>1512</v>
      </c>
      <c r="I42" s="14" t="str">
        <f>HYPERLINK("https://he-eppat.vercel.app/Backlog-IDDS-PL-SISTEM-Prototype.html","https://he-eppat.vercel.app/Backlog-IDDS-PL-SISTEM-Prototype.html")</f>
        <v>https://he-eppat.vercel.app/Backlog-IDDS-PL-SISTEM-Prototype.html</v>
      </c>
      <c r="J42" s="14" t="s">
        <v>1549</v>
      </c>
      <c r="K42" s="12" t="s">
        <v>541</v>
      </c>
      <c r="L42" s="12" t="s">
        <v>27</v>
      </c>
      <c r="M42" s="16">
        <v>46321</v>
      </c>
    </row>
    <row r="43" spans="1:13" x14ac:dyDescent="0.25">
      <c r="A43" s="10">
        <v>39</v>
      </c>
      <c r="B43" s="11" t="s">
        <v>1550</v>
      </c>
      <c r="C43" s="10" t="s">
        <v>1508</v>
      </c>
      <c r="D43" s="10" t="s">
        <v>1551</v>
      </c>
      <c r="E43" s="10" t="s">
        <v>1552</v>
      </c>
      <c r="F43" s="10" t="s">
        <v>1553</v>
      </c>
      <c r="G43" s="10" t="s">
        <v>567</v>
      </c>
      <c r="H43" s="10" t="s">
        <v>1512</v>
      </c>
      <c r="I43" s="10" t="str">
        <f>HYPERLINK("https://he-eppat.vercel.app/Backlog-IDDS-PL-SISTEM-Prototype.html","https://he-eppat.vercel.app/Backlog-IDDS-PL-SISTEM-Prototype.html")</f>
        <v>https://he-eppat.vercel.app/Backlog-IDDS-PL-SISTEM-Prototype.html</v>
      </c>
      <c r="J43" s="10" t="s">
        <v>1554</v>
      </c>
      <c r="K43" s="12" t="s">
        <v>541</v>
      </c>
      <c r="L43" s="12" t="s">
        <v>27</v>
      </c>
      <c r="M43" s="13">
        <v>46321</v>
      </c>
    </row>
    <row r="44" spans="1:13" x14ac:dyDescent="0.25">
      <c r="A44" s="14">
        <v>40</v>
      </c>
      <c r="B44" s="15" t="s">
        <v>1555</v>
      </c>
      <c r="C44" s="14" t="s">
        <v>1508</v>
      </c>
      <c r="D44" s="14" t="s">
        <v>1556</v>
      </c>
      <c r="E44" s="14" t="s">
        <v>1557</v>
      </c>
      <c r="F44" s="14" t="s">
        <v>1558</v>
      </c>
      <c r="G44" s="14" t="s">
        <v>567</v>
      </c>
      <c r="H44" s="14" t="s">
        <v>1512</v>
      </c>
      <c r="I44" s="14" t="str">
        <f>HYPERLINK("https://he-eppat.vercel.app/Backlog-IDDS-PL-SISTEM-Prototype.html","https://he-eppat.vercel.app/Backlog-IDDS-PL-SISTEM-Prototype.html")</f>
        <v>https://he-eppat.vercel.app/Backlog-IDDS-PL-SISTEM-Prototype.html</v>
      </c>
      <c r="J44" s="14" t="s">
        <v>1559</v>
      </c>
      <c r="K44" s="12" t="s">
        <v>541</v>
      </c>
      <c r="L44" s="12" t="s">
        <v>27</v>
      </c>
      <c r="M44" s="16">
        <v>46321</v>
      </c>
    </row>
    <row r="45" spans="1:13" x14ac:dyDescent="0.25">
      <c r="A45" s="10">
        <v>41</v>
      </c>
      <c r="B45" s="11" t="s">
        <v>1560</v>
      </c>
      <c r="C45" s="10" t="s">
        <v>1561</v>
      </c>
      <c r="D45" s="10" t="s">
        <v>1562</v>
      </c>
      <c r="E45" s="10" t="s">
        <v>1563</v>
      </c>
      <c r="F45" s="10" t="s">
        <v>1564</v>
      </c>
      <c r="G45" s="10" t="s">
        <v>567</v>
      </c>
      <c r="H45" s="10" t="s">
        <v>1565</v>
      </c>
      <c r="I45" s="10" t="str">
        <f>HYPERLINK("https://he-eppat.vercel.app/Backlog-IDDS-PL-MONITORING-Prototype.html","https://he-eppat.vercel.app/Backlog-IDDS-PL-MONITORING-Prototype.html")</f>
        <v>https://he-eppat.vercel.app/Backlog-IDDS-PL-MONITORING-Prototype.html</v>
      </c>
      <c r="J45" s="10" t="s">
        <v>1566</v>
      </c>
      <c r="K45" s="12" t="s">
        <v>541</v>
      </c>
      <c r="L45" s="12" t="s">
        <v>1567</v>
      </c>
      <c r="M45" s="13">
        <v>46321</v>
      </c>
    </row>
    <row r="46" spans="7:11" x14ac:dyDescent="0.25"/>
    <row r="47" spans="7:11" x14ac:dyDescent="0.25"/>
    <row r="48" spans="7:11" x14ac:dyDescent="0.25"/>
    <row r="49" spans="7:11" x14ac:dyDescent="0.25"/>
    <row r="50" spans="7:11" x14ac:dyDescent="0.25"/>
    <row r="51" spans="7:11" x14ac:dyDescent="0.25"/>
    <row r="52" spans="7:11" x14ac:dyDescent="0.25"/>
    <row r="53" spans="7:11" x14ac:dyDescent="0.25"/>
    <row r="54" spans="7:11" x14ac:dyDescent="0.25"/>
    <row r="55" spans="7:11" x14ac:dyDescent="0.25"/>
    <row r="56" spans="7:11" x14ac:dyDescent="0.25"/>
    <row r="57" spans="7:11" x14ac:dyDescent="0.25"/>
    <row r="58" spans="7:11" x14ac:dyDescent="0.25"/>
    <row r="59" spans="7:11" x14ac:dyDescent="0.25"/>
    <row r="60" spans="7:11" x14ac:dyDescent="0.25"/>
    <row r="61" spans="7:11" x14ac:dyDescent="0.25"/>
    <row r="62" spans="7:11" x14ac:dyDescent="0.25"/>
    <row r="63" spans="7:11" x14ac:dyDescent="0.25"/>
    <row r="64" spans="7:11" x14ac:dyDescent="0.25"/>
    <row r="65" spans="7:11" x14ac:dyDescent="0.25"/>
    <row r="66" spans="7:11" x14ac:dyDescent="0.25"/>
    <row r="67" spans="7:11" x14ac:dyDescent="0.25"/>
    <row r="68" spans="7:11" x14ac:dyDescent="0.25"/>
    <row r="69" spans="7:11" x14ac:dyDescent="0.25"/>
    <row r="70" spans="7:11" x14ac:dyDescent="0.25"/>
    <row r="71" spans="7:11" x14ac:dyDescent="0.25"/>
    <row r="72" spans="7:11" x14ac:dyDescent="0.25"/>
    <row r="73" spans="7:11" x14ac:dyDescent="0.25"/>
    <row r="74" spans="7:11" x14ac:dyDescent="0.25"/>
    <row r="75" spans="7:11" x14ac:dyDescent="0.25"/>
    <row r="76" spans="7:11" x14ac:dyDescent="0.25"/>
    <row r="77" spans="7:11" x14ac:dyDescent="0.25"/>
    <row r="78" spans="7:11" x14ac:dyDescent="0.25"/>
    <row r="79" spans="7:11" x14ac:dyDescent="0.25"/>
    <row r="80" spans="7:11" x14ac:dyDescent="0.25"/>
    <row r="81" spans="7:11" x14ac:dyDescent="0.25"/>
    <row r="82" spans="7:11" x14ac:dyDescent="0.25"/>
    <row r="83" spans="7:11" x14ac:dyDescent="0.25"/>
    <row r="84" spans="7:11" x14ac:dyDescent="0.25"/>
    <row r="85" spans="7:11" x14ac:dyDescent="0.25"/>
    <row r="86" spans="7:11" x14ac:dyDescent="0.25"/>
    <row r="87" spans="7:11" x14ac:dyDescent="0.25"/>
    <row r="88" spans="7:11" x14ac:dyDescent="0.25"/>
    <row r="89" spans="7:11" x14ac:dyDescent="0.25"/>
    <row r="90" spans="7:11" x14ac:dyDescent="0.25"/>
    <row r="91" spans="7:11" x14ac:dyDescent="0.25"/>
    <row r="92" spans="7:11" x14ac:dyDescent="0.25"/>
    <row r="93" spans="7:11" x14ac:dyDescent="0.25"/>
    <row r="94" spans="7:11" x14ac:dyDescent="0.25"/>
    <row r="95" spans="7:11" x14ac:dyDescent="0.25"/>
    <row r="96" spans="7:11" x14ac:dyDescent="0.25"/>
    <row r="97" spans="7:11" x14ac:dyDescent="0.25"/>
    <row r="98" spans="7:11" x14ac:dyDescent="0.25"/>
    <row r="99" spans="7:11" x14ac:dyDescent="0.25"/>
    <row r="100" spans="7:11" x14ac:dyDescent="0.25"/>
    <row r="101" spans="7:11" x14ac:dyDescent="0.25"/>
    <row r="102" spans="7:11" x14ac:dyDescent="0.25"/>
    <row r="103" spans="7:11" x14ac:dyDescent="0.25"/>
    <row r="104" spans="7:11" x14ac:dyDescent="0.25"/>
    <row r="105" spans="7:11" x14ac:dyDescent="0.25"/>
    <row r="106" spans="7:11" x14ac:dyDescent="0.25"/>
    <row r="107" spans="7:11" x14ac:dyDescent="0.25"/>
    <row r="108" spans="7:11" x14ac:dyDescent="0.25"/>
    <row r="109" spans="7:11" x14ac:dyDescent="0.25"/>
    <row r="110" spans="7:11" x14ac:dyDescent="0.25"/>
    <row r="111" spans="7:11" x14ac:dyDescent="0.25"/>
    <row r="112" spans="7:11" x14ac:dyDescent="0.25"/>
    <row r="113" spans="7:11" x14ac:dyDescent="0.25"/>
    <row r="114" spans="7:11" x14ac:dyDescent="0.25"/>
    <row r="115" spans="7:11" x14ac:dyDescent="0.25"/>
    <row r="116" spans="7:11" x14ac:dyDescent="0.25"/>
    <row r="117" spans="7:11" x14ac:dyDescent="0.25"/>
    <row r="118" spans="7:11" x14ac:dyDescent="0.25"/>
    <row r="119" spans="7:11" x14ac:dyDescent="0.25"/>
    <row r="120" spans="7:11" x14ac:dyDescent="0.25"/>
    <row r="121" spans="7:11" x14ac:dyDescent="0.25"/>
    <row r="122" spans="7:11" x14ac:dyDescent="0.25"/>
    <row r="123" spans="7:11" x14ac:dyDescent="0.25"/>
    <row r="124" spans="7:11" x14ac:dyDescent="0.25"/>
    <row r="125" spans="7:11" x14ac:dyDescent="0.25"/>
    <row r="126" spans="7:11" x14ac:dyDescent="0.25"/>
    <row r="127" spans="7:11" x14ac:dyDescent="0.25"/>
    <row r="128" spans="7:11" x14ac:dyDescent="0.25"/>
    <row r="129" spans="7:11" x14ac:dyDescent="0.25"/>
    <row r="130" spans="7:11" x14ac:dyDescent="0.25"/>
    <row r="131" spans="7:11" x14ac:dyDescent="0.25"/>
    <row r="132" spans="7:11" x14ac:dyDescent="0.25"/>
    <row r="133" spans="7:11" x14ac:dyDescent="0.25"/>
    <row r="134" spans="7:11" x14ac:dyDescent="0.25"/>
    <row r="135" spans="7:11" x14ac:dyDescent="0.25"/>
    <row r="136" spans="7:11" x14ac:dyDescent="0.25"/>
    <row r="137" spans="7:11" x14ac:dyDescent="0.25"/>
    <row r="138" spans="7:11" x14ac:dyDescent="0.25"/>
    <row r="139" spans="7:11" x14ac:dyDescent="0.25"/>
    <row r="140" spans="7:11" x14ac:dyDescent="0.25"/>
    <row r="141" spans="7:11" x14ac:dyDescent="0.25"/>
    <row r="142" spans="7:11" x14ac:dyDescent="0.25"/>
    <row r="143" spans="7:11" x14ac:dyDescent="0.25"/>
    <row r="144" spans="7:11" x14ac:dyDescent="0.25"/>
    <row r="145" spans="7:11" x14ac:dyDescent="0.25"/>
    <row r="146" spans="7:11" x14ac:dyDescent="0.25"/>
    <row r="147" spans="7:11" x14ac:dyDescent="0.25"/>
    <row r="148" spans="7:11" x14ac:dyDescent="0.25"/>
    <row r="149" spans="7:11" x14ac:dyDescent="0.25"/>
    <row r="150" spans="7:11" x14ac:dyDescent="0.25"/>
    <row r="151" spans="7:11" x14ac:dyDescent="0.25"/>
    <row r="152" spans="7:11" x14ac:dyDescent="0.25"/>
    <row r="153" spans="7:11" x14ac:dyDescent="0.25"/>
    <row r="154" spans="7:11" x14ac:dyDescent="0.25"/>
    <row r="155" spans="7:11" x14ac:dyDescent="0.25"/>
    <row r="156" spans="7:11" x14ac:dyDescent="0.25"/>
    <row r="157" spans="7:11" x14ac:dyDescent="0.25"/>
    <row r="158" spans="7:11" x14ac:dyDescent="0.25"/>
    <row r="159" spans="7:11" x14ac:dyDescent="0.25"/>
    <row r="160" spans="7:11" x14ac:dyDescent="0.25"/>
    <row r="161" spans="7:11" x14ac:dyDescent="0.25"/>
    <row r="162" spans="7:11" x14ac:dyDescent="0.25"/>
    <row r="163" spans="7:11" x14ac:dyDescent="0.25"/>
    <row r="164" spans="7:11" x14ac:dyDescent="0.25"/>
    <row r="165" spans="7:11" x14ac:dyDescent="0.25"/>
    <row r="166" spans="7:11" x14ac:dyDescent="0.25"/>
    <row r="167" spans="7:11" x14ac:dyDescent="0.25"/>
    <row r="168" spans="7:11" x14ac:dyDescent="0.25"/>
    <row r="169" spans="7:11" x14ac:dyDescent="0.25"/>
    <row r="170" spans="7:11" x14ac:dyDescent="0.25"/>
    <row r="171" spans="7:11" x14ac:dyDescent="0.25"/>
    <row r="172" spans="7:11" x14ac:dyDescent="0.25"/>
    <row r="173" spans="7:11" x14ac:dyDescent="0.25"/>
    <row r="174" spans="7:11" x14ac:dyDescent="0.25"/>
    <row r="175" spans="7:11" x14ac:dyDescent="0.25"/>
    <row r="176" spans="7:11" x14ac:dyDescent="0.25"/>
    <row r="177" spans="7:11" x14ac:dyDescent="0.25"/>
    <row r="178" spans="7:11" x14ac:dyDescent="0.25"/>
    <row r="179" spans="7:11" x14ac:dyDescent="0.25"/>
    <row r="180" spans="7:11" x14ac:dyDescent="0.25"/>
    <row r="181" spans="7:11" x14ac:dyDescent="0.25"/>
    <row r="182" spans="7:11" x14ac:dyDescent="0.25"/>
    <row r="183" spans="7:11" x14ac:dyDescent="0.25"/>
    <row r="184" spans="7:11" x14ac:dyDescent="0.25"/>
    <row r="185" spans="7:11" x14ac:dyDescent="0.25"/>
    <row r="186" spans="7:11" x14ac:dyDescent="0.25"/>
    <row r="187" spans="7:11" x14ac:dyDescent="0.25"/>
    <row r="188" spans="7:11" x14ac:dyDescent="0.25"/>
    <row r="189" spans="7:11" x14ac:dyDescent="0.25"/>
    <row r="190" spans="7:11" x14ac:dyDescent="0.25"/>
    <row r="191" spans="7:11" x14ac:dyDescent="0.25"/>
    <row r="192" spans="7:11" x14ac:dyDescent="0.25"/>
    <row r="193" spans="7:11" x14ac:dyDescent="0.25"/>
    <row r="194" spans="7:11" x14ac:dyDescent="0.25"/>
    <row r="195" spans="7:11" x14ac:dyDescent="0.25"/>
    <row r="196" spans="7:11" x14ac:dyDescent="0.25"/>
    <row r="197" spans="7:11" x14ac:dyDescent="0.25"/>
    <row r="198" spans="7:11" x14ac:dyDescent="0.25"/>
    <row r="199" spans="7:11" x14ac:dyDescent="0.25"/>
    <row r="200" spans="7:11" x14ac:dyDescent="0.25"/>
    <row r="201" spans="7:11" x14ac:dyDescent="0.25"/>
    <row r="202" spans="7:11" x14ac:dyDescent="0.25"/>
    <row r="203" spans="7:11" x14ac:dyDescent="0.25"/>
    <row r="204" spans="7:11" x14ac:dyDescent="0.25"/>
    <row r="205" spans="7:11" x14ac:dyDescent="0.25"/>
    <row r="206" spans="7:11" x14ac:dyDescent="0.25"/>
    <row r="207" spans="7:11" x14ac:dyDescent="0.25"/>
    <row r="208" spans="7:11" x14ac:dyDescent="0.25"/>
    <row r="209" spans="7:11" x14ac:dyDescent="0.25"/>
    <row r="210" spans="7:11" x14ac:dyDescent="0.25"/>
    <row r="211" spans="7:11" x14ac:dyDescent="0.25"/>
    <row r="212" spans="7:11" x14ac:dyDescent="0.25"/>
    <row r="213" spans="7:11" x14ac:dyDescent="0.25"/>
    <row r="214" spans="7:11" x14ac:dyDescent="0.25"/>
    <row r="215" spans="7:11" x14ac:dyDescent="0.25"/>
    <row r="216" spans="7:11" x14ac:dyDescent="0.25"/>
    <row r="217" spans="7:11" x14ac:dyDescent="0.25"/>
    <row r="218" spans="7:11" x14ac:dyDescent="0.25"/>
    <row r="219" spans="7:11" x14ac:dyDescent="0.25"/>
    <row r="220" spans="7:11" x14ac:dyDescent="0.25"/>
    <row r="221" spans="7:11" x14ac:dyDescent="0.25"/>
    <row r="222" spans="7:11" x14ac:dyDescent="0.25"/>
    <row r="223" spans="7:11" x14ac:dyDescent="0.25"/>
    <row r="224" spans="7:11" x14ac:dyDescent="0.25"/>
    <row r="225" spans="7:11" x14ac:dyDescent="0.25"/>
    <row r="226" spans="7:11" x14ac:dyDescent="0.25"/>
    <row r="227" spans="7:11" x14ac:dyDescent="0.25"/>
    <row r="228" spans="7:11" x14ac:dyDescent="0.25"/>
    <row r="229" spans="7:11" x14ac:dyDescent="0.25"/>
    <row r="230" spans="7:11" x14ac:dyDescent="0.25"/>
    <row r="231" spans="7:11" x14ac:dyDescent="0.25"/>
    <row r="232" spans="7:11" x14ac:dyDescent="0.25"/>
    <row r="233" spans="7:11" x14ac:dyDescent="0.25"/>
    <row r="234" spans="7:11" x14ac:dyDescent="0.25"/>
    <row r="235" spans="7:11" x14ac:dyDescent="0.25"/>
    <row r="236" spans="7:11" x14ac:dyDescent="0.25"/>
    <row r="237" spans="7:11" x14ac:dyDescent="0.25"/>
    <row r="238" spans="7:11" x14ac:dyDescent="0.25"/>
    <row r="239" spans="7:11" x14ac:dyDescent="0.25"/>
    <row r="240" spans="7:11" x14ac:dyDescent="0.25"/>
    <row r="241" spans="7:11" x14ac:dyDescent="0.25"/>
    <row r="242" spans="7:11" x14ac:dyDescent="0.25"/>
    <row r="243" spans="7:11" x14ac:dyDescent="0.25"/>
    <row r="244" spans="7:11" x14ac:dyDescent="0.25"/>
    <row r="245" spans="7:11" x14ac:dyDescent="0.25"/>
    <row r="246" spans="7:11" x14ac:dyDescent="0.25"/>
    <row r="247" spans="7:11" x14ac:dyDescent="0.25"/>
    <row r="248" spans="7:11" x14ac:dyDescent="0.25"/>
    <row r="249" spans="7:11" x14ac:dyDescent="0.25"/>
    <row r="250" spans="7:11" x14ac:dyDescent="0.25"/>
    <row r="251" spans="7:11" x14ac:dyDescent="0.25"/>
    <row r="252" spans="7:11" x14ac:dyDescent="0.25"/>
    <row r="253" spans="7:11" x14ac:dyDescent="0.25"/>
    <row r="254" spans="7:11" x14ac:dyDescent="0.25"/>
    <row r="255" spans="7:11" x14ac:dyDescent="0.25"/>
    <row r="256" spans="7:11" x14ac:dyDescent="0.25"/>
    <row r="257" spans="7:11" x14ac:dyDescent="0.25"/>
    <row r="258" spans="7:11" x14ac:dyDescent="0.25"/>
    <row r="259" spans="7:11" x14ac:dyDescent="0.25"/>
    <row r="260" spans="7:11" x14ac:dyDescent="0.25"/>
    <row r="261" spans="7:11" x14ac:dyDescent="0.25"/>
    <row r="262" spans="7:11" x14ac:dyDescent="0.25"/>
    <row r="263" spans="7:11" x14ac:dyDescent="0.25"/>
    <row r="264" spans="7:11" x14ac:dyDescent="0.25"/>
    <row r="265" spans="7:11" x14ac:dyDescent="0.25"/>
    <row r="266" spans="7:11" x14ac:dyDescent="0.25"/>
    <row r="267" spans="7:11" x14ac:dyDescent="0.25"/>
    <row r="268" spans="7:11" x14ac:dyDescent="0.25"/>
    <row r="269" spans="7:11" x14ac:dyDescent="0.25"/>
    <row r="270" spans="7:11" x14ac:dyDescent="0.25"/>
    <row r="271" spans="7:11" x14ac:dyDescent="0.25"/>
    <row r="272" spans="7:11" x14ac:dyDescent="0.25"/>
    <row r="273" spans="7:11" x14ac:dyDescent="0.25"/>
    <row r="274" spans="7:11" x14ac:dyDescent="0.25"/>
    <row r="275" spans="7:11" x14ac:dyDescent="0.25"/>
    <row r="276" spans="7:11" x14ac:dyDescent="0.25"/>
    <row r="277" spans="7:11" x14ac:dyDescent="0.25"/>
    <row r="278" spans="7:11" x14ac:dyDescent="0.25"/>
    <row r="279" spans="7:11" x14ac:dyDescent="0.25"/>
    <row r="280" spans="7:11" x14ac:dyDescent="0.25"/>
    <row r="281" spans="7:11" x14ac:dyDescent="0.25"/>
    <row r="282" spans="7:11" x14ac:dyDescent="0.25"/>
    <row r="283" spans="7:11" x14ac:dyDescent="0.25"/>
    <row r="284" spans="7:11" x14ac:dyDescent="0.25"/>
    <row r="285" spans="7:11" x14ac:dyDescent="0.25"/>
    <row r="286" spans="7:11" x14ac:dyDescent="0.25"/>
    <row r="287" spans="7:11" x14ac:dyDescent="0.25"/>
    <row r="288" spans="7:11" x14ac:dyDescent="0.25"/>
    <row r="289" spans="7:11" x14ac:dyDescent="0.25"/>
    <row r="290" spans="7:11" x14ac:dyDescent="0.25"/>
    <row r="291" spans="7:11" x14ac:dyDescent="0.25"/>
    <row r="292" spans="7:11" x14ac:dyDescent="0.25"/>
    <row r="293" spans="7:11" x14ac:dyDescent="0.25"/>
    <row r="294" spans="7:11" x14ac:dyDescent="0.25"/>
    <row r="295" spans="7:11" x14ac:dyDescent="0.25"/>
    <row r="296" spans="7:11" x14ac:dyDescent="0.25"/>
    <row r="297" spans="7:11" x14ac:dyDescent="0.25"/>
    <row r="298" spans="7:11" x14ac:dyDescent="0.25"/>
    <row r="299" spans="7:11" x14ac:dyDescent="0.25"/>
    <row r="300" spans="7:11" x14ac:dyDescent="0.25"/>
  </sheetData>
  <autoFilter ref="A4:M45"/>
  <mergeCells count="3">
    <mergeCell ref="A1:M1"/>
    <mergeCell ref="A2:M2"/>
    <mergeCell ref="A3:F3"/>
  </mergeCells>
  <dataValidations count="4">
    <dataValidation type="list" allowBlank="1" sqref="G10:G300">
      <formula1>"Tinggi,Sedang,Rendah"</formula1>
    </dataValidation>
    <dataValidation type="list" allowBlank="1" sqref="G5:G300">
      <formula1>"Tinggi,Sedang,Rendah"</formula1>
    </dataValidation>
    <dataValidation type="list" allowBlank="1" sqref="K10:K300">
      <formula1>"Usulan,Prototipe siap,Perlu konfirmasi,Disetujui,Dikerjakan developer,Selesai,Ditunda"</formula1>
    </dataValidation>
    <dataValidation type="list" allowBlank="1" sqref="K5:K300">
      <formula1>"Usulan,Prototipe siap,Perlu konfirmasi,Disetujui,Dikerjakan developer,Selesai,Ditunda"</formula1>
    </dataValidation>
  </dataValidations>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0"/>
  <sheetViews>
    <sheetView workbookViewId="0">
      <pane xSplit="2" ySplit="4" topLeftCell="C5" activePane="bottomRight" state="frozen"/>
      <selection pane="bottomRight"/>
    </sheetView>
  </sheetViews>
  <sheetFormatPr defaultRowHeight="15" outlineLevelRow="0" outlineLevelCol="0" x14ac:dyDescent="55"/>
  <cols>
    <col min="1" max="1" width="5" customWidth="1"/>
    <col min="2" max="2" width="13" customWidth="1"/>
    <col min="3" max="3" width="24" customWidth="1"/>
    <col min="4" max="4" width="30" customWidth="1"/>
    <col min="5" max="5" width="45" customWidth="1"/>
    <col min="6" max="6" width="55" customWidth="1"/>
    <col min="7" max="7" width="10" customWidth="1"/>
    <col min="8" max="8" width="28" customWidth="1"/>
    <col min="9" max="9" width="40" customWidth="1"/>
    <col min="10" max="10" width="45" customWidth="1"/>
    <col min="11" max="11" width="16" customWidth="1"/>
    <col min="12" max="12" width="32" customWidth="1"/>
    <col min="13" max="13" width="12" customWidth="1"/>
  </cols>
  <sheetData>
    <row r="1" ht="22" customHeight="1" spans="1:13" x14ac:dyDescent="0.25">
      <c r="A1" s="1" t="s">
        <v>1568</v>
      </c>
      <c r="B1" s="1"/>
      <c r="C1" s="1"/>
      <c r="D1" s="1"/>
      <c r="E1" s="1"/>
      <c r="F1" s="1"/>
      <c r="G1" s="1"/>
      <c r="H1" s="1"/>
      <c r="I1" s="1"/>
      <c r="J1" s="1"/>
      <c r="K1" s="1"/>
      <c r="L1" s="1"/>
      <c r="M1" s="1"/>
    </row>
    <row r="2" spans="1:13" x14ac:dyDescent="0.25">
      <c r="A2" s="2" t="s">
        <v>1569</v>
      </c>
      <c r="B2" s="2"/>
      <c r="C2" s="2"/>
      <c r="D2" s="2"/>
      <c r="E2" s="2"/>
      <c r="F2" s="2"/>
      <c r="G2" s="2"/>
      <c r="H2" s="2"/>
      <c r="I2" s="2"/>
      <c r="J2" s="2"/>
      <c r="K2" s="2"/>
      <c r="L2" s="2"/>
      <c r="M2" s="2"/>
    </row>
    <row r="3" ht="18" customHeight="1" spans="1:6" x14ac:dyDescent="0.25">
      <c r="A3" s="9" t="str">
        <f>HYPERLINK("https://he-eppat.vercel.app/index.html#onboarding","Situs prototipe: https://he-eppat.vercel.app/  ·  Buka daftar prototipe kelompok ini")</f>
        <v>Situs prototipe: https://he-eppat.vercel.app/  ·  Buka daftar prototipe kelompok ini</v>
      </c>
      <c r="B3" s="9"/>
      <c r="C3" s="9"/>
      <c r="D3" s="9"/>
      <c r="E3" s="9"/>
      <c r="F3" s="9"/>
    </row>
    <row r="4" ht="30" customHeight="1" spans="1:13" x14ac:dyDescent="0.25">
      <c r="A4" s="4" t="s">
        <v>3</v>
      </c>
      <c r="B4" s="4" t="s">
        <v>517</v>
      </c>
      <c r="C4" s="4" t="s">
        <v>1093</v>
      </c>
      <c r="D4" s="4" t="s">
        <v>1094</v>
      </c>
      <c r="E4" s="4" t="s">
        <v>521</v>
      </c>
      <c r="F4" s="4" t="s">
        <v>1095</v>
      </c>
      <c r="G4" s="4" t="s">
        <v>525</v>
      </c>
      <c r="H4" s="4" t="s">
        <v>526</v>
      </c>
      <c r="I4" s="4" t="s">
        <v>8</v>
      </c>
      <c r="J4" s="4" t="s">
        <v>527</v>
      </c>
      <c r="K4" s="4" t="s">
        <v>528</v>
      </c>
      <c r="L4" s="4" t="s">
        <v>529</v>
      </c>
      <c r="M4" s="4" t="s">
        <v>530</v>
      </c>
    </row>
    <row r="5" spans="1:13" x14ac:dyDescent="0.25">
      <c r="A5" s="10">
        <v>1</v>
      </c>
      <c r="B5" s="11" t="s">
        <v>1570</v>
      </c>
      <c r="C5" s="10" t="s">
        <v>1571</v>
      </c>
      <c r="D5" s="10" t="s">
        <v>1572</v>
      </c>
      <c r="E5" s="10" t="s">
        <v>1573</v>
      </c>
      <c r="F5" s="10" t="s">
        <v>1574</v>
      </c>
      <c r="G5" s="10" t="s">
        <v>567</v>
      </c>
      <c r="H5" s="10" t="s">
        <v>1575</v>
      </c>
      <c r="I5" s="10" t="str">
        <f>HYPERLINK("https://he-eppat.vercel.app/Backlog-IDDS-OB-MASUK-Prototype.html","https://he-eppat.vercel.app/Backlog-IDDS-OB-MASUK-Prototype.html")</f>
        <v>https://he-eppat.vercel.app/Backlog-IDDS-OB-MASUK-Prototype.html</v>
      </c>
      <c r="J5" s="10" t="s">
        <v>1576</v>
      </c>
      <c r="K5" s="12" t="s">
        <v>541</v>
      </c>
      <c r="L5" s="12" t="s">
        <v>27</v>
      </c>
      <c r="M5" s="13">
        <v>46321</v>
      </c>
    </row>
    <row r="6" spans="1:13" x14ac:dyDescent="0.25">
      <c r="A6" s="14">
        <v>2</v>
      </c>
      <c r="B6" s="15" t="s">
        <v>1577</v>
      </c>
      <c r="C6" s="14" t="s">
        <v>1571</v>
      </c>
      <c r="D6" s="14" t="s">
        <v>1578</v>
      </c>
      <c r="E6" s="14" t="s">
        <v>1579</v>
      </c>
      <c r="F6" s="14" t="s">
        <v>1580</v>
      </c>
      <c r="G6" s="14" t="s">
        <v>567</v>
      </c>
      <c r="H6" s="14" t="s">
        <v>1575</v>
      </c>
      <c r="I6" s="14" t="str">
        <f>HYPERLINK("https://he-eppat.vercel.app/Backlog-IDDS-OB-MASUK-Prototype.html","https://he-eppat.vercel.app/Backlog-IDDS-OB-MASUK-Prototype.html")</f>
        <v>https://he-eppat.vercel.app/Backlog-IDDS-OB-MASUK-Prototype.html</v>
      </c>
      <c r="J6" s="14" t="s">
        <v>1581</v>
      </c>
      <c r="K6" s="12" t="s">
        <v>541</v>
      </c>
      <c r="L6" s="12" t="s">
        <v>27</v>
      </c>
      <c r="M6" s="16">
        <v>46321</v>
      </c>
    </row>
    <row r="7" spans="1:13" x14ac:dyDescent="0.25">
      <c r="A7" s="10">
        <v>3</v>
      </c>
      <c r="B7" s="11" t="s">
        <v>1582</v>
      </c>
      <c r="C7" s="10" t="s">
        <v>1571</v>
      </c>
      <c r="D7" s="10" t="s">
        <v>1583</v>
      </c>
      <c r="E7" s="10" t="s">
        <v>1584</v>
      </c>
      <c r="F7" s="10" t="s">
        <v>1585</v>
      </c>
      <c r="G7" s="10" t="s">
        <v>567</v>
      </c>
      <c r="H7" s="10" t="s">
        <v>1575</v>
      </c>
      <c r="I7" s="10" t="str">
        <f>HYPERLINK("https://he-eppat.vercel.app/Backlog-IDDS-OB-MASUK-Prototype.html","https://he-eppat.vercel.app/Backlog-IDDS-OB-MASUK-Prototype.html")</f>
        <v>https://he-eppat.vercel.app/Backlog-IDDS-OB-MASUK-Prototype.html</v>
      </c>
      <c r="J7" s="10" t="s">
        <v>1586</v>
      </c>
      <c r="K7" s="12" t="s">
        <v>541</v>
      </c>
      <c r="L7" s="12" t="s">
        <v>27</v>
      </c>
      <c r="M7" s="13">
        <v>46321</v>
      </c>
    </row>
    <row r="8" spans="1:13" x14ac:dyDescent="0.25">
      <c r="A8" s="14">
        <v>4</v>
      </c>
      <c r="B8" s="15" t="s">
        <v>1587</v>
      </c>
      <c r="C8" s="14" t="s">
        <v>1571</v>
      </c>
      <c r="D8" s="14" t="s">
        <v>1588</v>
      </c>
      <c r="E8" s="14" t="s">
        <v>1589</v>
      </c>
      <c r="F8" s="14" t="s">
        <v>1590</v>
      </c>
      <c r="G8" s="14" t="s">
        <v>567</v>
      </c>
      <c r="H8" s="14" t="s">
        <v>1575</v>
      </c>
      <c r="I8" s="14" t="str">
        <f>HYPERLINK("https://he-eppat.vercel.app/Backlog-IDDS-OB-MASUK-Prototype.html","https://he-eppat.vercel.app/Backlog-IDDS-OB-MASUK-Prototype.html")</f>
        <v>https://he-eppat.vercel.app/Backlog-IDDS-OB-MASUK-Prototype.html</v>
      </c>
      <c r="J8" s="14" t="s">
        <v>1591</v>
      </c>
      <c r="K8" s="12" t="s">
        <v>541</v>
      </c>
      <c r="L8" s="12" t="s">
        <v>27</v>
      </c>
      <c r="M8" s="16">
        <v>46321</v>
      </c>
    </row>
    <row r="9" spans="1:13" x14ac:dyDescent="0.25">
      <c r="A9" s="10">
        <v>5</v>
      </c>
      <c r="B9" s="11" t="s">
        <v>1592</v>
      </c>
      <c r="C9" s="10" t="s">
        <v>1571</v>
      </c>
      <c r="D9" s="10" t="s">
        <v>1593</v>
      </c>
      <c r="E9" s="10" t="s">
        <v>1594</v>
      </c>
      <c r="F9" s="10" t="s">
        <v>1595</v>
      </c>
      <c r="G9" s="10" t="s">
        <v>567</v>
      </c>
      <c r="H9" s="10" t="s">
        <v>1575</v>
      </c>
      <c r="I9" s="10" t="str">
        <f>HYPERLINK("https://he-eppat.vercel.app/Backlog-IDDS-OB-MASUK-Prototype.html","https://he-eppat.vercel.app/Backlog-IDDS-OB-MASUK-Prototype.html")</f>
        <v>https://he-eppat.vercel.app/Backlog-IDDS-OB-MASUK-Prototype.html</v>
      </c>
      <c r="J9" s="10" t="s">
        <v>1596</v>
      </c>
      <c r="K9" s="12" t="s">
        <v>541</v>
      </c>
      <c r="L9" s="12" t="s">
        <v>27</v>
      </c>
      <c r="M9" s="13">
        <v>46321</v>
      </c>
    </row>
    <row r="10" spans="1:13" x14ac:dyDescent="0.25">
      <c r="A10" s="14">
        <v>6</v>
      </c>
      <c r="B10" s="15" t="s">
        <v>1597</v>
      </c>
      <c r="C10" s="14" t="s">
        <v>1571</v>
      </c>
      <c r="D10" s="14" t="s">
        <v>1598</v>
      </c>
      <c r="E10" s="14" t="s">
        <v>1599</v>
      </c>
      <c r="F10" s="14" t="s">
        <v>1600</v>
      </c>
      <c r="G10" s="14" t="s">
        <v>567</v>
      </c>
      <c r="H10" s="14" t="s">
        <v>1575</v>
      </c>
      <c r="I10" s="14" t="str">
        <f>HYPERLINK("https://he-eppat.vercel.app/Backlog-IDDS-OB-MASUK-Prototype.html","https://he-eppat.vercel.app/Backlog-IDDS-OB-MASUK-Prototype.html")</f>
        <v>https://he-eppat.vercel.app/Backlog-IDDS-OB-MASUK-Prototype.html</v>
      </c>
      <c r="J10" s="14" t="s">
        <v>1601</v>
      </c>
      <c r="K10" s="12" t="s">
        <v>541</v>
      </c>
      <c r="L10" s="12" t="s">
        <v>27</v>
      </c>
      <c r="M10" s="16">
        <v>46321</v>
      </c>
    </row>
    <row r="11" spans="1:13" x14ac:dyDescent="0.25">
      <c r="A11" s="10">
        <v>7</v>
      </c>
      <c r="B11" s="11" t="s">
        <v>1602</v>
      </c>
      <c r="C11" s="10" t="s">
        <v>1571</v>
      </c>
      <c r="D11" s="10" t="s">
        <v>1603</v>
      </c>
      <c r="E11" s="10" t="s">
        <v>1604</v>
      </c>
      <c r="F11" s="10" t="s">
        <v>1605</v>
      </c>
      <c r="G11" s="10" t="s">
        <v>567</v>
      </c>
      <c r="H11" s="10" t="s">
        <v>1575</v>
      </c>
      <c r="I11" s="10" t="str">
        <f>HYPERLINK("https://he-eppat.vercel.app/Backlog-IDDS-OB-MASUK-Prototype.html","https://he-eppat.vercel.app/Backlog-IDDS-OB-MASUK-Prototype.html")</f>
        <v>https://he-eppat.vercel.app/Backlog-IDDS-OB-MASUK-Prototype.html</v>
      </c>
      <c r="J11" s="10" t="s">
        <v>1606</v>
      </c>
      <c r="K11" s="12" t="s">
        <v>541</v>
      </c>
      <c r="L11" s="12" t="s">
        <v>27</v>
      </c>
      <c r="M11" s="13">
        <v>46321</v>
      </c>
    </row>
    <row r="12" spans="1:13" x14ac:dyDescent="0.25">
      <c r="A12" s="14">
        <v>8</v>
      </c>
      <c r="B12" s="15" t="s">
        <v>1607</v>
      </c>
      <c r="C12" s="14" t="s">
        <v>1571</v>
      </c>
      <c r="D12" s="14" t="s">
        <v>1608</v>
      </c>
      <c r="E12" s="14" t="s">
        <v>1609</v>
      </c>
      <c r="F12" s="14" t="s">
        <v>1610</v>
      </c>
      <c r="G12" s="14" t="s">
        <v>567</v>
      </c>
      <c r="H12" s="14" t="s">
        <v>1575</v>
      </c>
      <c r="I12" s="14" t="str">
        <f>HYPERLINK("https://he-eppat.vercel.app/Backlog-IDDS-OB-MASUK-Prototype.html","https://he-eppat.vercel.app/Backlog-IDDS-OB-MASUK-Prototype.html")</f>
        <v>https://he-eppat.vercel.app/Backlog-IDDS-OB-MASUK-Prototype.html</v>
      </c>
      <c r="J12" s="14" t="s">
        <v>1611</v>
      </c>
      <c r="K12" s="12" t="s">
        <v>541</v>
      </c>
      <c r="L12" s="12" t="s">
        <v>27</v>
      </c>
      <c r="M12" s="16">
        <v>46321</v>
      </c>
    </row>
    <row r="13" spans="1:13" x14ac:dyDescent="0.25">
      <c r="A13" s="10">
        <v>9</v>
      </c>
      <c r="B13" s="11" t="s">
        <v>1612</v>
      </c>
      <c r="C13" s="10" t="s">
        <v>1571</v>
      </c>
      <c r="D13" s="10" t="s">
        <v>1613</v>
      </c>
      <c r="E13" s="10" t="s">
        <v>1614</v>
      </c>
      <c r="F13" s="10" t="s">
        <v>1615</v>
      </c>
      <c r="G13" s="10" t="s">
        <v>567</v>
      </c>
      <c r="H13" s="10" t="s">
        <v>1575</v>
      </c>
      <c r="I13" s="10" t="str">
        <f>HYPERLINK("https://he-eppat.vercel.app/Backlog-IDDS-OB-MASUK-Prototype.html","https://he-eppat.vercel.app/Backlog-IDDS-OB-MASUK-Prototype.html")</f>
        <v>https://he-eppat.vercel.app/Backlog-IDDS-OB-MASUK-Prototype.html</v>
      </c>
      <c r="J13" s="10" t="s">
        <v>1616</v>
      </c>
      <c r="K13" s="12" t="s">
        <v>541</v>
      </c>
      <c r="L13" s="12" t="s">
        <v>27</v>
      </c>
      <c r="M13" s="13">
        <v>46321</v>
      </c>
    </row>
    <row r="14" spans="1:13" x14ac:dyDescent="0.25">
      <c r="A14" s="14">
        <v>10</v>
      </c>
      <c r="B14" s="15" t="s">
        <v>1617</v>
      </c>
      <c r="C14" s="14" t="s">
        <v>1571</v>
      </c>
      <c r="D14" s="14" t="s">
        <v>1618</v>
      </c>
      <c r="E14" s="14" t="s">
        <v>1619</v>
      </c>
      <c r="F14" s="14" t="s">
        <v>1620</v>
      </c>
      <c r="G14" s="14" t="s">
        <v>567</v>
      </c>
      <c r="H14" s="14" t="s">
        <v>1575</v>
      </c>
      <c r="I14" s="14" t="str">
        <f>HYPERLINK("https://he-eppat.vercel.app/Backlog-IDDS-OB-MASUK-Prototype.html","https://he-eppat.vercel.app/Backlog-IDDS-OB-MASUK-Prototype.html")</f>
        <v>https://he-eppat.vercel.app/Backlog-IDDS-OB-MASUK-Prototype.html</v>
      </c>
      <c r="J14" s="14" t="s">
        <v>1621</v>
      </c>
      <c r="K14" s="12" t="s">
        <v>541</v>
      </c>
      <c r="L14" s="12" t="s">
        <v>27</v>
      </c>
      <c r="M14" s="16">
        <v>46321</v>
      </c>
    </row>
    <row r="15" spans="1:13" x14ac:dyDescent="0.25">
      <c r="A15" s="10">
        <v>11</v>
      </c>
      <c r="B15" s="11" t="s">
        <v>1622</v>
      </c>
      <c r="C15" s="10" t="s">
        <v>1623</v>
      </c>
      <c r="D15" s="10" t="s">
        <v>1624</v>
      </c>
      <c r="E15" s="10" t="s">
        <v>1625</v>
      </c>
      <c r="F15" s="10" t="s">
        <v>1626</v>
      </c>
      <c r="G15" s="10" t="s">
        <v>567</v>
      </c>
      <c r="H15" s="10" t="s">
        <v>1627</v>
      </c>
      <c r="I15" s="10" t="str">
        <f>HYPERLINK("https://he-eppat.vercel.app/Backlog-IDDS-OB-MONITOR-Prototype.html","https://he-eppat.vercel.app/Backlog-IDDS-OB-MONITOR-Prototype.html")</f>
        <v>https://he-eppat.vercel.app/Backlog-IDDS-OB-MONITOR-Prototype.html</v>
      </c>
      <c r="J15" s="10" t="s">
        <v>1628</v>
      </c>
      <c r="K15" s="12" t="s">
        <v>541</v>
      </c>
      <c r="L15" s="12" t="s">
        <v>27</v>
      </c>
      <c r="M15" s="13">
        <v>46321</v>
      </c>
    </row>
    <row r="16" spans="1:13" x14ac:dyDescent="0.25">
      <c r="A16" s="14">
        <v>12</v>
      </c>
      <c r="B16" s="15" t="s">
        <v>1629</v>
      </c>
      <c r="C16" s="14" t="s">
        <v>1623</v>
      </c>
      <c r="D16" s="14" t="s">
        <v>1630</v>
      </c>
      <c r="E16" s="14" t="s">
        <v>1631</v>
      </c>
      <c r="F16" s="14" t="s">
        <v>1632</v>
      </c>
      <c r="G16" s="14" t="s">
        <v>567</v>
      </c>
      <c r="H16" s="14" t="s">
        <v>1627</v>
      </c>
      <c r="I16" s="14" t="str">
        <f>HYPERLINK("https://he-eppat.vercel.app/Backlog-IDDS-OB-MONITOR-Prototype.html","https://he-eppat.vercel.app/Backlog-IDDS-OB-MONITOR-Prototype.html")</f>
        <v>https://he-eppat.vercel.app/Backlog-IDDS-OB-MONITOR-Prototype.html</v>
      </c>
      <c r="J16" s="14" t="s">
        <v>1633</v>
      </c>
      <c r="K16" s="12" t="s">
        <v>541</v>
      </c>
      <c r="L16" s="12" t="s">
        <v>27</v>
      </c>
      <c r="M16" s="16">
        <v>46321</v>
      </c>
    </row>
    <row r="17" spans="1:13" x14ac:dyDescent="0.25">
      <c r="A17" s="10">
        <v>13</v>
      </c>
      <c r="B17" s="11" t="s">
        <v>1634</v>
      </c>
      <c r="C17" s="10" t="s">
        <v>1623</v>
      </c>
      <c r="D17" s="10" t="s">
        <v>1635</v>
      </c>
      <c r="E17" s="10" t="s">
        <v>1636</v>
      </c>
      <c r="F17" s="10" t="s">
        <v>1637</v>
      </c>
      <c r="G17" s="10" t="s">
        <v>567</v>
      </c>
      <c r="H17" s="10" t="s">
        <v>1627</v>
      </c>
      <c r="I17" s="10" t="str">
        <f>HYPERLINK("https://he-eppat.vercel.app/Backlog-IDDS-OB-MONITOR-Prototype.html","https://he-eppat.vercel.app/Backlog-IDDS-OB-MONITOR-Prototype.html")</f>
        <v>https://he-eppat.vercel.app/Backlog-IDDS-OB-MONITOR-Prototype.html</v>
      </c>
      <c r="J17" s="10" t="s">
        <v>1638</v>
      </c>
      <c r="K17" s="12" t="s">
        <v>541</v>
      </c>
      <c r="L17" s="12" t="s">
        <v>27</v>
      </c>
      <c r="M17" s="13">
        <v>46321</v>
      </c>
    </row>
    <row r="18" spans="1:13" x14ac:dyDescent="0.25">
      <c r="A18" s="14">
        <v>14</v>
      </c>
      <c r="B18" s="15" t="s">
        <v>1639</v>
      </c>
      <c r="C18" s="14" t="s">
        <v>1623</v>
      </c>
      <c r="D18" s="14" t="s">
        <v>1640</v>
      </c>
      <c r="E18" s="14" t="s">
        <v>1641</v>
      </c>
      <c r="F18" s="14" t="s">
        <v>1642</v>
      </c>
      <c r="G18" s="14" t="s">
        <v>567</v>
      </c>
      <c r="H18" s="14" t="s">
        <v>1627</v>
      </c>
      <c r="I18" s="14" t="str">
        <f>HYPERLINK("https://he-eppat.vercel.app/Backlog-IDDS-OB-MONITOR-Prototype.html","https://he-eppat.vercel.app/Backlog-IDDS-OB-MONITOR-Prototype.html")</f>
        <v>https://he-eppat.vercel.app/Backlog-IDDS-OB-MONITOR-Prototype.html</v>
      </c>
      <c r="J18" s="14" t="s">
        <v>1643</v>
      </c>
      <c r="K18" s="12" t="s">
        <v>541</v>
      </c>
      <c r="L18" s="12" t="s">
        <v>27</v>
      </c>
      <c r="M18" s="16">
        <v>46321</v>
      </c>
    </row>
    <row r="19" spans="1:13" x14ac:dyDescent="0.25">
      <c r="A19" s="10">
        <v>15</v>
      </c>
      <c r="B19" s="11" t="s">
        <v>1644</v>
      </c>
      <c r="C19" s="10" t="s">
        <v>1623</v>
      </c>
      <c r="D19" s="10" t="s">
        <v>1645</v>
      </c>
      <c r="E19" s="10" t="s">
        <v>1646</v>
      </c>
      <c r="F19" s="10" t="s">
        <v>1647</v>
      </c>
      <c r="G19" s="10" t="s">
        <v>567</v>
      </c>
      <c r="H19" s="10" t="s">
        <v>1627</v>
      </c>
      <c r="I19" s="10" t="str">
        <f>HYPERLINK("https://he-eppat.vercel.app/Backlog-IDDS-OB-MONITOR-Prototype.html","https://he-eppat.vercel.app/Backlog-IDDS-OB-MONITOR-Prototype.html")</f>
        <v>https://he-eppat.vercel.app/Backlog-IDDS-OB-MONITOR-Prototype.html</v>
      </c>
      <c r="J19" s="10" t="s">
        <v>1648</v>
      </c>
      <c r="K19" s="12" t="s">
        <v>541</v>
      </c>
      <c r="L19" s="12" t="s">
        <v>27</v>
      </c>
      <c r="M19" s="13">
        <v>46321</v>
      </c>
    </row>
    <row r="20" spans="1:13" x14ac:dyDescent="0.25">
      <c r="A20" s="14">
        <v>16</v>
      </c>
      <c r="B20" s="15" t="s">
        <v>1649</v>
      </c>
      <c r="C20" s="14" t="s">
        <v>1623</v>
      </c>
      <c r="D20" s="14" t="s">
        <v>1650</v>
      </c>
      <c r="E20" s="14" t="s">
        <v>1651</v>
      </c>
      <c r="F20" s="14" t="s">
        <v>1652</v>
      </c>
      <c r="G20" s="14" t="s">
        <v>567</v>
      </c>
      <c r="H20" s="14" t="s">
        <v>1627</v>
      </c>
      <c r="I20" s="14" t="str">
        <f>HYPERLINK("https://he-eppat.vercel.app/Backlog-IDDS-OB-MONITOR-Prototype.html","https://he-eppat.vercel.app/Backlog-IDDS-OB-MONITOR-Prototype.html")</f>
        <v>https://he-eppat.vercel.app/Backlog-IDDS-OB-MONITOR-Prototype.html</v>
      </c>
      <c r="J20" s="14" t="s">
        <v>1653</v>
      </c>
      <c r="K20" s="12" t="s">
        <v>541</v>
      </c>
      <c r="L20" s="12" t="s">
        <v>27</v>
      </c>
      <c r="M20" s="16">
        <v>46321</v>
      </c>
    </row>
    <row r="21" spans="1:13" x14ac:dyDescent="0.25">
      <c r="A21" s="10">
        <v>17</v>
      </c>
      <c r="B21" s="11" t="s">
        <v>1654</v>
      </c>
      <c r="C21" s="10" t="s">
        <v>1623</v>
      </c>
      <c r="D21" s="10" t="s">
        <v>1655</v>
      </c>
      <c r="E21" s="10" t="s">
        <v>1656</v>
      </c>
      <c r="F21" s="10" t="s">
        <v>1657</v>
      </c>
      <c r="G21" s="10" t="s">
        <v>567</v>
      </c>
      <c r="H21" s="10" t="s">
        <v>1627</v>
      </c>
      <c r="I21" s="10" t="str">
        <f>HYPERLINK("https://he-eppat.vercel.app/Backlog-IDDS-OB-MONITOR-Prototype.html","https://he-eppat.vercel.app/Backlog-IDDS-OB-MONITOR-Prototype.html")</f>
        <v>https://he-eppat.vercel.app/Backlog-IDDS-OB-MONITOR-Prototype.html</v>
      </c>
      <c r="J21" s="10" t="s">
        <v>1658</v>
      </c>
      <c r="K21" s="12" t="s">
        <v>541</v>
      </c>
      <c r="L21" s="12" t="s">
        <v>27</v>
      </c>
      <c r="M21" s="13">
        <v>46321</v>
      </c>
    </row>
    <row r="22" spans="1:13" x14ac:dyDescent="0.25">
      <c r="A22" s="14">
        <v>18</v>
      </c>
      <c r="B22" s="15" t="s">
        <v>1659</v>
      </c>
      <c r="C22" s="14" t="s">
        <v>1623</v>
      </c>
      <c r="D22" s="14" t="s">
        <v>1660</v>
      </c>
      <c r="E22" s="14" t="s">
        <v>1661</v>
      </c>
      <c r="F22" s="14" t="s">
        <v>1662</v>
      </c>
      <c r="G22" s="14" t="s">
        <v>567</v>
      </c>
      <c r="H22" s="14" t="s">
        <v>1627</v>
      </c>
      <c r="I22" s="14" t="str">
        <f>HYPERLINK("https://he-eppat.vercel.app/Backlog-IDDS-OB-MONITOR-Prototype.html","https://he-eppat.vercel.app/Backlog-IDDS-OB-MONITOR-Prototype.html")</f>
        <v>https://he-eppat.vercel.app/Backlog-IDDS-OB-MONITOR-Prototype.html</v>
      </c>
      <c r="J22" s="14" t="s">
        <v>1663</v>
      </c>
      <c r="K22" s="12" t="s">
        <v>541</v>
      </c>
      <c r="L22" s="12" t="s">
        <v>27</v>
      </c>
      <c r="M22" s="16">
        <v>46321</v>
      </c>
    </row>
    <row r="23" spans="1:13" x14ac:dyDescent="0.25">
      <c r="A23" s="10">
        <v>19</v>
      </c>
      <c r="B23" s="11" t="s">
        <v>1664</v>
      </c>
      <c r="C23" s="10" t="s">
        <v>1623</v>
      </c>
      <c r="D23" s="10" t="s">
        <v>1665</v>
      </c>
      <c r="E23" s="10" t="s">
        <v>1666</v>
      </c>
      <c r="F23" s="10" t="s">
        <v>1667</v>
      </c>
      <c r="G23" s="10" t="s">
        <v>567</v>
      </c>
      <c r="H23" s="10" t="s">
        <v>1627</v>
      </c>
      <c r="I23" s="10" t="str">
        <f>HYPERLINK("https://he-eppat.vercel.app/Backlog-IDDS-OB-MONITOR-Prototype.html","https://he-eppat.vercel.app/Backlog-IDDS-OB-MONITOR-Prototype.html")</f>
        <v>https://he-eppat.vercel.app/Backlog-IDDS-OB-MONITOR-Prototype.html</v>
      </c>
      <c r="J23" s="10" t="s">
        <v>1668</v>
      </c>
      <c r="K23" s="12" t="s">
        <v>541</v>
      </c>
      <c r="L23" s="12" t="s">
        <v>27</v>
      </c>
      <c r="M23" s="13">
        <v>46321</v>
      </c>
    </row>
    <row r="24" spans="1:13" x14ac:dyDescent="0.25">
      <c r="A24" s="14">
        <v>20</v>
      </c>
      <c r="B24" s="15" t="s">
        <v>1669</v>
      </c>
      <c r="C24" s="14" t="s">
        <v>1623</v>
      </c>
      <c r="D24" s="14" t="s">
        <v>1670</v>
      </c>
      <c r="E24" s="14" t="s">
        <v>1671</v>
      </c>
      <c r="F24" s="14" t="s">
        <v>1672</v>
      </c>
      <c r="G24" s="14" t="s">
        <v>567</v>
      </c>
      <c r="H24" s="14" t="s">
        <v>1627</v>
      </c>
      <c r="I24" s="14" t="str">
        <f>HYPERLINK("https://he-eppat.vercel.app/Backlog-IDDS-OB-MONITOR-Prototype.html","https://he-eppat.vercel.app/Backlog-IDDS-OB-MONITOR-Prototype.html")</f>
        <v>https://he-eppat.vercel.app/Backlog-IDDS-OB-MONITOR-Prototype.html</v>
      </c>
      <c r="J24" s="14" t="s">
        <v>1673</v>
      </c>
      <c r="K24" s="12" t="s">
        <v>541</v>
      </c>
      <c r="L24" s="12" t="s">
        <v>27</v>
      </c>
      <c r="M24" s="16">
        <v>46321</v>
      </c>
    </row>
    <row r="25" spans="1:13" x14ac:dyDescent="0.25">
      <c r="A25" s="10">
        <v>21</v>
      </c>
      <c r="B25" s="11" t="s">
        <v>1674</v>
      </c>
      <c r="C25" s="10" t="s">
        <v>1675</v>
      </c>
      <c r="D25" s="10" t="s">
        <v>1676</v>
      </c>
      <c r="E25" s="10" t="s">
        <v>1677</v>
      </c>
      <c r="F25" s="10" t="s">
        <v>1678</v>
      </c>
      <c r="G25" s="10" t="s">
        <v>567</v>
      </c>
      <c r="H25" s="10" t="s">
        <v>1679</v>
      </c>
      <c r="I25" s="10" t="str">
        <f>HYPERLINK("https://he-eppat.vercel.app/Backlog-IDDS-OB-VERIF-Prototype.html","https://he-eppat.vercel.app/Backlog-IDDS-OB-VERIF-Prototype.html")</f>
        <v>https://he-eppat.vercel.app/Backlog-IDDS-OB-VERIF-Prototype.html</v>
      </c>
      <c r="J25" s="10" t="s">
        <v>1680</v>
      </c>
      <c r="K25" s="12" t="s">
        <v>541</v>
      </c>
      <c r="L25" s="12" t="s">
        <v>27</v>
      </c>
      <c r="M25" s="13">
        <v>46321</v>
      </c>
    </row>
    <row r="26" spans="1:13" x14ac:dyDescent="0.25">
      <c r="A26" s="14">
        <v>22</v>
      </c>
      <c r="B26" s="15" t="s">
        <v>1681</v>
      </c>
      <c r="C26" s="14" t="s">
        <v>1675</v>
      </c>
      <c r="D26" s="14" t="s">
        <v>1682</v>
      </c>
      <c r="E26" s="14" t="s">
        <v>1683</v>
      </c>
      <c r="F26" s="14" t="s">
        <v>1684</v>
      </c>
      <c r="G26" s="14" t="s">
        <v>567</v>
      </c>
      <c r="H26" s="14" t="s">
        <v>1679</v>
      </c>
      <c r="I26" s="14" t="str">
        <f>HYPERLINK("https://he-eppat.vercel.app/Backlog-IDDS-OB-VERIF-Prototype.html","https://he-eppat.vercel.app/Backlog-IDDS-OB-VERIF-Prototype.html")</f>
        <v>https://he-eppat.vercel.app/Backlog-IDDS-OB-VERIF-Prototype.html</v>
      </c>
      <c r="J26" s="14" t="s">
        <v>1685</v>
      </c>
      <c r="K26" s="12" t="s">
        <v>541</v>
      </c>
      <c r="L26" s="12" t="s">
        <v>27</v>
      </c>
      <c r="M26" s="16">
        <v>46321</v>
      </c>
    </row>
    <row r="27" spans="1:13" x14ac:dyDescent="0.25">
      <c r="A27" s="10">
        <v>23</v>
      </c>
      <c r="B27" s="11" t="s">
        <v>1686</v>
      </c>
      <c r="C27" s="10" t="s">
        <v>1675</v>
      </c>
      <c r="D27" s="10" t="s">
        <v>1687</v>
      </c>
      <c r="E27" s="10" t="s">
        <v>1688</v>
      </c>
      <c r="F27" s="10" t="s">
        <v>1689</v>
      </c>
      <c r="G27" s="10" t="s">
        <v>567</v>
      </c>
      <c r="H27" s="10" t="s">
        <v>1679</v>
      </c>
      <c r="I27" s="10" t="str">
        <f>HYPERLINK("https://he-eppat.vercel.app/Backlog-IDDS-OB-VERIF-Prototype.html","https://he-eppat.vercel.app/Backlog-IDDS-OB-VERIF-Prototype.html")</f>
        <v>https://he-eppat.vercel.app/Backlog-IDDS-OB-VERIF-Prototype.html</v>
      </c>
      <c r="J27" s="10" t="s">
        <v>1690</v>
      </c>
      <c r="K27" s="12" t="s">
        <v>541</v>
      </c>
      <c r="L27" s="12" t="s">
        <v>27</v>
      </c>
      <c r="M27" s="13">
        <v>46321</v>
      </c>
    </row>
    <row r="28" spans="1:13" x14ac:dyDescent="0.25">
      <c r="A28" s="14">
        <v>24</v>
      </c>
      <c r="B28" s="15" t="s">
        <v>1691</v>
      </c>
      <c r="C28" s="14" t="s">
        <v>1675</v>
      </c>
      <c r="D28" s="14" t="s">
        <v>1692</v>
      </c>
      <c r="E28" s="14" t="s">
        <v>1693</v>
      </c>
      <c r="F28" s="14" t="s">
        <v>1694</v>
      </c>
      <c r="G28" s="14" t="s">
        <v>567</v>
      </c>
      <c r="H28" s="14" t="s">
        <v>1679</v>
      </c>
      <c r="I28" s="14" t="str">
        <f>HYPERLINK("https://he-eppat.vercel.app/Backlog-IDDS-OB-VERIF-Prototype.html","https://he-eppat.vercel.app/Backlog-IDDS-OB-VERIF-Prototype.html")</f>
        <v>https://he-eppat.vercel.app/Backlog-IDDS-OB-VERIF-Prototype.html</v>
      </c>
      <c r="J28" s="14" t="s">
        <v>1695</v>
      </c>
      <c r="K28" s="12" t="s">
        <v>541</v>
      </c>
      <c r="L28" s="12" t="s">
        <v>27</v>
      </c>
      <c r="M28" s="16">
        <v>46321</v>
      </c>
    </row>
    <row r="29" spans="1:13" x14ac:dyDescent="0.25">
      <c r="A29" s="10">
        <v>25</v>
      </c>
      <c r="B29" s="11" t="s">
        <v>1696</v>
      </c>
      <c r="C29" s="10" t="s">
        <v>1675</v>
      </c>
      <c r="D29" s="10" t="s">
        <v>1697</v>
      </c>
      <c r="E29" s="10" t="s">
        <v>1698</v>
      </c>
      <c r="F29" s="10" t="s">
        <v>1699</v>
      </c>
      <c r="G29" s="10" t="s">
        <v>567</v>
      </c>
      <c r="H29" s="10" t="s">
        <v>1679</v>
      </c>
      <c r="I29" s="10" t="str">
        <f>HYPERLINK("https://he-eppat.vercel.app/Backlog-IDDS-OB-VERIF-Prototype.html","https://he-eppat.vercel.app/Backlog-IDDS-OB-VERIF-Prototype.html")</f>
        <v>https://he-eppat.vercel.app/Backlog-IDDS-OB-VERIF-Prototype.html</v>
      </c>
      <c r="J29" s="10" t="s">
        <v>1700</v>
      </c>
      <c r="K29" s="12" t="s">
        <v>541</v>
      </c>
      <c r="L29" s="12" t="s">
        <v>27</v>
      </c>
      <c r="M29" s="13">
        <v>46321</v>
      </c>
    </row>
    <row r="30" spans="1:13" x14ac:dyDescent="0.25">
      <c r="A30" s="14">
        <v>26</v>
      </c>
      <c r="B30" s="15" t="s">
        <v>1701</v>
      </c>
      <c r="C30" s="14" t="s">
        <v>1675</v>
      </c>
      <c r="D30" s="14" t="s">
        <v>1702</v>
      </c>
      <c r="E30" s="14" t="s">
        <v>1703</v>
      </c>
      <c r="F30" s="14" t="s">
        <v>1704</v>
      </c>
      <c r="G30" s="14" t="s">
        <v>567</v>
      </c>
      <c r="H30" s="14" t="s">
        <v>1679</v>
      </c>
      <c r="I30" s="14" t="str">
        <f>HYPERLINK("https://he-eppat.vercel.app/Backlog-IDDS-OB-VERIF-Prototype.html","https://he-eppat.vercel.app/Backlog-IDDS-OB-VERIF-Prototype.html")</f>
        <v>https://he-eppat.vercel.app/Backlog-IDDS-OB-VERIF-Prototype.html</v>
      </c>
      <c r="J30" s="14" t="s">
        <v>1705</v>
      </c>
      <c r="K30" s="12" t="s">
        <v>541</v>
      </c>
      <c r="L30" s="12" t="s">
        <v>27</v>
      </c>
      <c r="M30" s="16">
        <v>46321</v>
      </c>
    </row>
    <row r="31" spans="1:13" x14ac:dyDescent="0.25">
      <c r="A31" s="10">
        <v>27</v>
      </c>
      <c r="B31" s="11" t="s">
        <v>1706</v>
      </c>
      <c r="C31" s="10" t="s">
        <v>1675</v>
      </c>
      <c r="D31" s="10" t="s">
        <v>1707</v>
      </c>
      <c r="E31" s="10" t="s">
        <v>1708</v>
      </c>
      <c r="F31" s="10" t="s">
        <v>1709</v>
      </c>
      <c r="G31" s="10" t="s">
        <v>567</v>
      </c>
      <c r="H31" s="10" t="s">
        <v>1679</v>
      </c>
      <c r="I31" s="10" t="str">
        <f>HYPERLINK("https://he-eppat.vercel.app/Backlog-IDDS-OB-VERIF-Prototype.html","https://he-eppat.vercel.app/Backlog-IDDS-OB-VERIF-Prototype.html")</f>
        <v>https://he-eppat.vercel.app/Backlog-IDDS-OB-VERIF-Prototype.html</v>
      </c>
      <c r="J31" s="10" t="s">
        <v>1710</v>
      </c>
      <c r="K31" s="12" t="s">
        <v>541</v>
      </c>
      <c r="L31" s="12" t="s">
        <v>27</v>
      </c>
      <c r="M31" s="13">
        <v>46321</v>
      </c>
    </row>
    <row r="32" spans="1:13" x14ac:dyDescent="0.25">
      <c r="A32" s="14">
        <v>28</v>
      </c>
      <c r="B32" s="15" t="s">
        <v>1711</v>
      </c>
      <c r="C32" s="14" t="s">
        <v>1675</v>
      </c>
      <c r="D32" s="14" t="s">
        <v>1712</v>
      </c>
      <c r="E32" s="14" t="s">
        <v>1713</v>
      </c>
      <c r="F32" s="14" t="s">
        <v>1714</v>
      </c>
      <c r="G32" s="14" t="s">
        <v>567</v>
      </c>
      <c r="H32" s="14" t="s">
        <v>1679</v>
      </c>
      <c r="I32" s="14" t="str">
        <f>HYPERLINK("https://he-eppat.vercel.app/Backlog-IDDS-OB-VERIF-Prototype.html","https://he-eppat.vercel.app/Backlog-IDDS-OB-VERIF-Prototype.html")</f>
        <v>https://he-eppat.vercel.app/Backlog-IDDS-OB-VERIF-Prototype.html</v>
      </c>
      <c r="J32" s="14" t="s">
        <v>1715</v>
      </c>
      <c r="K32" s="12" t="s">
        <v>541</v>
      </c>
      <c r="L32" s="12" t="s">
        <v>27</v>
      </c>
      <c r="M32" s="16">
        <v>46321</v>
      </c>
    </row>
    <row r="33" spans="1:13" x14ac:dyDescent="0.25">
      <c r="A33" s="10">
        <v>29</v>
      </c>
      <c r="B33" s="11" t="s">
        <v>1716</v>
      </c>
      <c r="C33" s="10" t="s">
        <v>1675</v>
      </c>
      <c r="D33" s="10" t="s">
        <v>1717</v>
      </c>
      <c r="E33" s="10" t="s">
        <v>1718</v>
      </c>
      <c r="F33" s="10" t="s">
        <v>1719</v>
      </c>
      <c r="G33" s="10" t="s">
        <v>567</v>
      </c>
      <c r="H33" s="10" t="s">
        <v>1679</v>
      </c>
      <c r="I33" s="10" t="str">
        <f>HYPERLINK("https://he-eppat.vercel.app/Backlog-IDDS-OB-VERIF-Prototype.html","https://he-eppat.vercel.app/Backlog-IDDS-OB-VERIF-Prototype.html")</f>
        <v>https://he-eppat.vercel.app/Backlog-IDDS-OB-VERIF-Prototype.html</v>
      </c>
      <c r="J33" s="10" t="s">
        <v>1720</v>
      </c>
      <c r="K33" s="12" t="s">
        <v>541</v>
      </c>
      <c r="L33" s="12" t="s">
        <v>27</v>
      </c>
      <c r="M33" s="13">
        <v>46321</v>
      </c>
    </row>
    <row r="34" spans="1:13" x14ac:dyDescent="0.25">
      <c r="A34" s="14">
        <v>30</v>
      </c>
      <c r="B34" s="15" t="s">
        <v>1721</v>
      </c>
      <c r="C34" s="14" t="s">
        <v>1675</v>
      </c>
      <c r="D34" s="14" t="s">
        <v>1722</v>
      </c>
      <c r="E34" s="14" t="s">
        <v>1671</v>
      </c>
      <c r="F34" s="14" t="s">
        <v>1723</v>
      </c>
      <c r="G34" s="14" t="s">
        <v>567</v>
      </c>
      <c r="H34" s="14" t="s">
        <v>1679</v>
      </c>
      <c r="I34" s="14" t="str">
        <f>HYPERLINK("https://he-eppat.vercel.app/Backlog-IDDS-OB-VERIF-Prototype.html","https://he-eppat.vercel.app/Backlog-IDDS-OB-VERIF-Prototype.html")</f>
        <v>https://he-eppat.vercel.app/Backlog-IDDS-OB-VERIF-Prototype.html</v>
      </c>
      <c r="J34" s="14" t="s">
        <v>1724</v>
      </c>
      <c r="K34" s="12" t="s">
        <v>541</v>
      </c>
      <c r="L34" s="12" t="s">
        <v>27</v>
      </c>
      <c r="M34" s="16">
        <v>46321</v>
      </c>
    </row>
    <row r="35" spans="1:13" x14ac:dyDescent="0.25">
      <c r="A35" s="10">
        <v>31</v>
      </c>
      <c r="B35" s="11" t="s">
        <v>1725</v>
      </c>
      <c r="C35" s="10" t="s">
        <v>1726</v>
      </c>
      <c r="D35" s="10" t="s">
        <v>1727</v>
      </c>
      <c r="E35" s="10" t="s">
        <v>1728</v>
      </c>
      <c r="F35" s="10" t="s">
        <v>1729</v>
      </c>
      <c r="G35" s="10" t="s">
        <v>567</v>
      </c>
      <c r="H35" s="10" t="s">
        <v>1730</v>
      </c>
      <c r="I35" s="10" t="str">
        <f>HYPERLINK("https://he-eppat.vercel.app/Backlog-IDDS-OB-PENGATURAN-Prototype.html","https://he-eppat.vercel.app/Backlog-IDDS-OB-PENGATURAN-Prototype.html")</f>
        <v>https://he-eppat.vercel.app/Backlog-IDDS-OB-PENGATURAN-Prototype.html</v>
      </c>
      <c r="J35" s="10" t="s">
        <v>1731</v>
      </c>
      <c r="K35" s="12" t="s">
        <v>541</v>
      </c>
      <c r="L35" s="12" t="s">
        <v>27</v>
      </c>
      <c r="M35" s="13">
        <v>46321</v>
      </c>
    </row>
    <row r="36" spans="1:13" x14ac:dyDescent="0.25">
      <c r="A36" s="14">
        <v>32</v>
      </c>
      <c r="B36" s="15" t="s">
        <v>1732</v>
      </c>
      <c r="C36" s="14" t="s">
        <v>1726</v>
      </c>
      <c r="D36" s="14" t="s">
        <v>1733</v>
      </c>
      <c r="E36" s="14" t="s">
        <v>1734</v>
      </c>
      <c r="F36" s="14" t="s">
        <v>1735</v>
      </c>
      <c r="G36" s="14" t="s">
        <v>567</v>
      </c>
      <c r="H36" s="14" t="s">
        <v>1730</v>
      </c>
      <c r="I36" s="14" t="str">
        <f>HYPERLINK("https://he-eppat.vercel.app/Backlog-IDDS-OB-PENGATURAN-Prototype.html","https://he-eppat.vercel.app/Backlog-IDDS-OB-PENGATURAN-Prototype.html")</f>
        <v>https://he-eppat.vercel.app/Backlog-IDDS-OB-PENGATURAN-Prototype.html</v>
      </c>
      <c r="J36" s="14" t="s">
        <v>1736</v>
      </c>
      <c r="K36" s="12" t="s">
        <v>541</v>
      </c>
      <c r="L36" s="12" t="s">
        <v>27</v>
      </c>
      <c r="M36" s="16">
        <v>46321</v>
      </c>
    </row>
    <row r="37" spans="1:13" x14ac:dyDescent="0.25">
      <c r="A37" s="10">
        <v>33</v>
      </c>
      <c r="B37" s="11" t="s">
        <v>1737</v>
      </c>
      <c r="C37" s="10" t="s">
        <v>1726</v>
      </c>
      <c r="D37" s="10" t="s">
        <v>1738</v>
      </c>
      <c r="E37" s="10" t="s">
        <v>1739</v>
      </c>
      <c r="F37" s="10" t="s">
        <v>1740</v>
      </c>
      <c r="G37" s="10" t="s">
        <v>567</v>
      </c>
      <c r="H37" s="10" t="s">
        <v>1730</v>
      </c>
      <c r="I37" s="10" t="str">
        <f>HYPERLINK("https://he-eppat.vercel.app/Backlog-IDDS-OB-PENGATURAN-Prototype.html","https://he-eppat.vercel.app/Backlog-IDDS-OB-PENGATURAN-Prototype.html")</f>
        <v>https://he-eppat.vercel.app/Backlog-IDDS-OB-PENGATURAN-Prototype.html</v>
      </c>
      <c r="J37" s="10" t="s">
        <v>1741</v>
      </c>
      <c r="K37" s="12" t="s">
        <v>541</v>
      </c>
      <c r="L37" s="12" t="s">
        <v>27</v>
      </c>
      <c r="M37" s="13">
        <v>46321</v>
      </c>
    </row>
    <row r="38" spans="1:13" x14ac:dyDescent="0.25">
      <c r="A38" s="14">
        <v>34</v>
      </c>
      <c r="B38" s="15" t="s">
        <v>1742</v>
      </c>
      <c r="C38" s="14" t="s">
        <v>1726</v>
      </c>
      <c r="D38" s="14" t="s">
        <v>1743</v>
      </c>
      <c r="E38" s="14" t="s">
        <v>1744</v>
      </c>
      <c r="F38" s="14" t="s">
        <v>1745</v>
      </c>
      <c r="G38" s="14" t="s">
        <v>567</v>
      </c>
      <c r="H38" s="14" t="s">
        <v>1730</v>
      </c>
      <c r="I38" s="14" t="str">
        <f>HYPERLINK("https://he-eppat.vercel.app/Backlog-IDDS-OB-PENGATURAN-Prototype.html","https://he-eppat.vercel.app/Backlog-IDDS-OB-PENGATURAN-Prototype.html")</f>
        <v>https://he-eppat.vercel.app/Backlog-IDDS-OB-PENGATURAN-Prototype.html</v>
      </c>
      <c r="J38" s="14" t="s">
        <v>1746</v>
      </c>
      <c r="K38" s="12" t="s">
        <v>541</v>
      </c>
      <c r="L38" s="12" t="s">
        <v>27</v>
      </c>
      <c r="M38" s="16">
        <v>46321</v>
      </c>
    </row>
    <row r="39" spans="1:13" x14ac:dyDescent="0.25">
      <c r="A39" s="10">
        <v>35</v>
      </c>
      <c r="B39" s="11" t="s">
        <v>1747</v>
      </c>
      <c r="C39" s="10" t="s">
        <v>1726</v>
      </c>
      <c r="D39" s="10" t="s">
        <v>1748</v>
      </c>
      <c r="E39" s="10" t="s">
        <v>1749</v>
      </c>
      <c r="F39" s="10" t="s">
        <v>1750</v>
      </c>
      <c r="G39" s="10" t="s">
        <v>567</v>
      </c>
      <c r="H39" s="10" t="s">
        <v>1730</v>
      </c>
      <c r="I39" s="10" t="str">
        <f>HYPERLINK("https://he-eppat.vercel.app/Backlog-IDDS-OB-PENGATURAN-Prototype.html","https://he-eppat.vercel.app/Backlog-IDDS-OB-PENGATURAN-Prototype.html")</f>
        <v>https://he-eppat.vercel.app/Backlog-IDDS-OB-PENGATURAN-Prototype.html</v>
      </c>
      <c r="J39" s="10" t="s">
        <v>1751</v>
      </c>
      <c r="K39" s="12" t="s">
        <v>541</v>
      </c>
      <c r="L39" s="12" t="s">
        <v>27</v>
      </c>
      <c r="M39" s="13">
        <v>46321</v>
      </c>
    </row>
    <row r="40" spans="1:13" x14ac:dyDescent="0.25">
      <c r="A40" s="14">
        <v>36</v>
      </c>
      <c r="B40" s="15" t="s">
        <v>1752</v>
      </c>
      <c r="C40" s="14" t="s">
        <v>1726</v>
      </c>
      <c r="D40" s="14" t="s">
        <v>1753</v>
      </c>
      <c r="E40" s="14" t="s">
        <v>1754</v>
      </c>
      <c r="F40" s="14" t="s">
        <v>1755</v>
      </c>
      <c r="G40" s="14" t="s">
        <v>567</v>
      </c>
      <c r="H40" s="14" t="s">
        <v>1730</v>
      </c>
      <c r="I40" s="14" t="str">
        <f>HYPERLINK("https://he-eppat.vercel.app/Backlog-IDDS-OB-PENGATURAN-Prototype.html","https://he-eppat.vercel.app/Backlog-IDDS-OB-PENGATURAN-Prototype.html")</f>
        <v>https://he-eppat.vercel.app/Backlog-IDDS-OB-PENGATURAN-Prototype.html</v>
      </c>
      <c r="J40" s="14" t="s">
        <v>1756</v>
      </c>
      <c r="K40" s="12" t="s">
        <v>541</v>
      </c>
      <c r="L40" s="12" t="s">
        <v>27</v>
      </c>
      <c r="M40" s="16">
        <v>46321</v>
      </c>
    </row>
    <row r="41" spans="1:13" x14ac:dyDescent="0.25">
      <c r="A41" s="10">
        <v>37</v>
      </c>
      <c r="B41" s="11" t="s">
        <v>1757</v>
      </c>
      <c r="C41" s="10" t="s">
        <v>1726</v>
      </c>
      <c r="D41" s="10" t="s">
        <v>1758</v>
      </c>
      <c r="E41" s="10" t="s">
        <v>1759</v>
      </c>
      <c r="F41" s="10" t="s">
        <v>1760</v>
      </c>
      <c r="G41" s="10" t="s">
        <v>567</v>
      </c>
      <c r="H41" s="10" t="s">
        <v>1730</v>
      </c>
      <c r="I41" s="10" t="str">
        <f>HYPERLINK("https://he-eppat.vercel.app/Backlog-IDDS-OB-PENGATURAN-Prototype.html","https://he-eppat.vercel.app/Backlog-IDDS-OB-PENGATURAN-Prototype.html")</f>
        <v>https://he-eppat.vercel.app/Backlog-IDDS-OB-PENGATURAN-Prototype.html</v>
      </c>
      <c r="J41" s="10" t="s">
        <v>1761</v>
      </c>
      <c r="K41" s="12" t="s">
        <v>541</v>
      </c>
      <c r="L41" s="12" t="s">
        <v>27</v>
      </c>
      <c r="M41" s="13">
        <v>46321</v>
      </c>
    </row>
    <row r="42" spans="1:13" x14ac:dyDescent="0.25">
      <c r="A42" s="14">
        <v>38</v>
      </c>
      <c r="B42" s="15" t="s">
        <v>1762</v>
      </c>
      <c r="C42" s="14" t="s">
        <v>1726</v>
      </c>
      <c r="D42" s="14" t="s">
        <v>1763</v>
      </c>
      <c r="E42" s="14" t="s">
        <v>1764</v>
      </c>
      <c r="F42" s="14" t="s">
        <v>1765</v>
      </c>
      <c r="G42" s="14" t="s">
        <v>567</v>
      </c>
      <c r="H42" s="14" t="s">
        <v>1730</v>
      </c>
      <c r="I42" s="14" t="str">
        <f>HYPERLINK("https://he-eppat.vercel.app/Backlog-IDDS-OB-PENGATURAN-Prototype.html","https://he-eppat.vercel.app/Backlog-IDDS-OB-PENGATURAN-Prototype.html")</f>
        <v>https://he-eppat.vercel.app/Backlog-IDDS-OB-PENGATURAN-Prototype.html</v>
      </c>
      <c r="J42" s="14" t="s">
        <v>1766</v>
      </c>
      <c r="K42" s="12" t="s">
        <v>541</v>
      </c>
      <c r="L42" s="12" t="s">
        <v>27</v>
      </c>
      <c r="M42" s="16">
        <v>46321</v>
      </c>
    </row>
    <row r="43" spans="1:13" x14ac:dyDescent="0.25">
      <c r="A43" s="10">
        <v>39</v>
      </c>
      <c r="B43" s="11" t="s">
        <v>1767</v>
      </c>
      <c r="C43" s="10" t="s">
        <v>1726</v>
      </c>
      <c r="D43" s="10" t="s">
        <v>1768</v>
      </c>
      <c r="E43" s="10" t="s">
        <v>1769</v>
      </c>
      <c r="F43" s="10" t="s">
        <v>1770</v>
      </c>
      <c r="G43" s="10" t="s">
        <v>567</v>
      </c>
      <c r="H43" s="10" t="s">
        <v>1730</v>
      </c>
      <c r="I43" s="10" t="str">
        <f>HYPERLINK("https://he-eppat.vercel.app/Backlog-IDDS-OB-PENGATURAN-Prototype.html","https://he-eppat.vercel.app/Backlog-IDDS-OB-PENGATURAN-Prototype.html")</f>
        <v>https://he-eppat.vercel.app/Backlog-IDDS-OB-PENGATURAN-Prototype.html</v>
      </c>
      <c r="J43" s="10" t="s">
        <v>1771</v>
      </c>
      <c r="K43" s="12" t="s">
        <v>541</v>
      </c>
      <c r="L43" s="12" t="s">
        <v>27</v>
      </c>
      <c r="M43" s="13">
        <v>46321</v>
      </c>
    </row>
    <row r="44" spans="1:13" x14ac:dyDescent="0.25">
      <c r="A44" s="14">
        <v>40</v>
      </c>
      <c r="B44" s="15" t="s">
        <v>1772</v>
      </c>
      <c r="C44" s="14" t="s">
        <v>1726</v>
      </c>
      <c r="D44" s="14" t="s">
        <v>1773</v>
      </c>
      <c r="E44" s="14" t="s">
        <v>1774</v>
      </c>
      <c r="F44" s="14" t="s">
        <v>1775</v>
      </c>
      <c r="G44" s="14" t="s">
        <v>567</v>
      </c>
      <c r="H44" s="14" t="s">
        <v>1730</v>
      </c>
      <c r="I44" s="14" t="str">
        <f>HYPERLINK("https://he-eppat.vercel.app/Backlog-IDDS-OB-PENGATURAN-Prototype.html","https://he-eppat.vercel.app/Backlog-IDDS-OB-PENGATURAN-Prototype.html")</f>
        <v>https://he-eppat.vercel.app/Backlog-IDDS-OB-PENGATURAN-Prototype.html</v>
      </c>
      <c r="J44" s="14" t="s">
        <v>1776</v>
      </c>
      <c r="K44" s="12" t="s">
        <v>541</v>
      </c>
      <c r="L44" s="12" t="s">
        <v>27</v>
      </c>
      <c r="M44" s="16">
        <v>46321</v>
      </c>
    </row>
    <row r="45" spans="1:13" x14ac:dyDescent="0.25">
      <c r="A45" s="10">
        <v>41</v>
      </c>
      <c r="B45" s="11" t="s">
        <v>1777</v>
      </c>
      <c r="C45" s="10" t="s">
        <v>1726</v>
      </c>
      <c r="D45" s="10" t="s">
        <v>1778</v>
      </c>
      <c r="E45" s="10" t="s">
        <v>1779</v>
      </c>
      <c r="F45" s="10" t="s">
        <v>1780</v>
      </c>
      <c r="G45" s="10" t="s">
        <v>567</v>
      </c>
      <c r="H45" s="10" t="s">
        <v>1730</v>
      </c>
      <c r="I45" s="10" t="str">
        <f>HYPERLINK("https://he-eppat.vercel.app/Backlog-IDDS-OB-PENGATURAN-Prototype.html","https://he-eppat.vercel.app/Backlog-IDDS-OB-PENGATURAN-Prototype.html")</f>
        <v>https://he-eppat.vercel.app/Backlog-IDDS-OB-PENGATURAN-Prototype.html</v>
      </c>
      <c r="J45" s="10" t="s">
        <v>1781</v>
      </c>
      <c r="K45" s="12" t="s">
        <v>541</v>
      </c>
      <c r="L45" s="12" t="s">
        <v>27</v>
      </c>
      <c r="M45" s="13">
        <v>46321</v>
      </c>
    </row>
    <row r="46" spans="1:13" x14ac:dyDescent="0.25">
      <c r="A46" s="14">
        <v>42</v>
      </c>
      <c r="B46" s="15" t="s">
        <v>1782</v>
      </c>
      <c r="C46" s="14" t="s">
        <v>1726</v>
      </c>
      <c r="D46" s="14" t="s">
        <v>1783</v>
      </c>
      <c r="E46" s="14" t="s">
        <v>1784</v>
      </c>
      <c r="F46" s="14" t="s">
        <v>1785</v>
      </c>
      <c r="G46" s="14" t="s">
        <v>567</v>
      </c>
      <c r="H46" s="14" t="s">
        <v>1730</v>
      </c>
      <c r="I46" s="14" t="str">
        <f>HYPERLINK("https://he-eppat.vercel.app/Backlog-IDDS-OB-PENGATURAN-Prototype.html","https://he-eppat.vercel.app/Backlog-IDDS-OB-PENGATURAN-Prototype.html")</f>
        <v>https://he-eppat.vercel.app/Backlog-IDDS-OB-PENGATURAN-Prototype.html</v>
      </c>
      <c r="J46" s="14" t="s">
        <v>1786</v>
      </c>
      <c r="K46" s="12" t="s">
        <v>541</v>
      </c>
      <c r="L46" s="12" t="s">
        <v>27</v>
      </c>
      <c r="M46" s="16">
        <v>46321</v>
      </c>
    </row>
    <row r="47" spans="1:13" x14ac:dyDescent="0.25">
      <c r="A47" s="10">
        <v>43</v>
      </c>
      <c r="B47" s="11" t="s">
        <v>1787</v>
      </c>
      <c r="C47" s="10" t="s">
        <v>1726</v>
      </c>
      <c r="D47" s="10" t="s">
        <v>1788</v>
      </c>
      <c r="E47" s="10" t="s">
        <v>1789</v>
      </c>
      <c r="F47" s="10" t="s">
        <v>1790</v>
      </c>
      <c r="G47" s="10" t="s">
        <v>567</v>
      </c>
      <c r="H47" s="10" t="s">
        <v>1730</v>
      </c>
      <c r="I47" s="10" t="str">
        <f>HYPERLINK("https://he-eppat.vercel.app/Backlog-IDDS-OB-PENGATURAN-Prototype.html","https://he-eppat.vercel.app/Backlog-IDDS-OB-PENGATURAN-Prototype.html")</f>
        <v>https://he-eppat.vercel.app/Backlog-IDDS-OB-PENGATURAN-Prototype.html</v>
      </c>
      <c r="J47" s="10" t="s">
        <v>1791</v>
      </c>
      <c r="K47" s="12" t="s">
        <v>541</v>
      </c>
      <c r="L47" s="12" t="s">
        <v>27</v>
      </c>
      <c r="M47" s="13">
        <v>46321</v>
      </c>
    </row>
    <row r="48" spans="1:13" x14ac:dyDescent="0.25">
      <c r="A48" s="14">
        <v>44</v>
      </c>
      <c r="B48" s="15" t="s">
        <v>1792</v>
      </c>
      <c r="C48" s="14" t="s">
        <v>1726</v>
      </c>
      <c r="D48" s="14" t="s">
        <v>1793</v>
      </c>
      <c r="E48" s="14" t="s">
        <v>1794</v>
      </c>
      <c r="F48" s="14" t="s">
        <v>1795</v>
      </c>
      <c r="G48" s="14" t="s">
        <v>567</v>
      </c>
      <c r="H48" s="14" t="s">
        <v>1730</v>
      </c>
      <c r="I48" s="14" t="str">
        <f>HYPERLINK("https://he-eppat.vercel.app/Backlog-IDDS-OB-PENGATURAN-Prototype.html","https://he-eppat.vercel.app/Backlog-IDDS-OB-PENGATURAN-Prototype.html")</f>
        <v>https://he-eppat.vercel.app/Backlog-IDDS-OB-PENGATURAN-Prototype.html</v>
      </c>
      <c r="J48" s="14" t="s">
        <v>1796</v>
      </c>
      <c r="K48" s="12" t="s">
        <v>541</v>
      </c>
      <c r="L48" s="12" t="s">
        <v>27</v>
      </c>
      <c r="M48" s="16">
        <v>46321</v>
      </c>
    </row>
    <row r="49" spans="1:13" x14ac:dyDescent="0.25">
      <c r="A49" s="10">
        <v>45</v>
      </c>
      <c r="B49" s="11" t="s">
        <v>1797</v>
      </c>
      <c r="C49" s="10" t="s">
        <v>1726</v>
      </c>
      <c r="D49" s="10" t="s">
        <v>1798</v>
      </c>
      <c r="E49" s="10" t="s">
        <v>1799</v>
      </c>
      <c r="F49" s="10" t="s">
        <v>1800</v>
      </c>
      <c r="G49" s="10" t="s">
        <v>567</v>
      </c>
      <c r="H49" s="10" t="s">
        <v>1730</v>
      </c>
      <c r="I49" s="10" t="str">
        <f>HYPERLINK("https://he-eppat.vercel.app/Backlog-IDDS-OB-PENGATURAN-Prototype.html","https://he-eppat.vercel.app/Backlog-IDDS-OB-PENGATURAN-Prototype.html")</f>
        <v>https://he-eppat.vercel.app/Backlog-IDDS-OB-PENGATURAN-Prototype.html</v>
      </c>
      <c r="J49" s="10" t="s">
        <v>1801</v>
      </c>
      <c r="K49" s="12" t="s">
        <v>541</v>
      </c>
      <c r="L49" s="12" t="s">
        <v>27</v>
      </c>
      <c r="M49" s="13">
        <v>46321</v>
      </c>
    </row>
    <row r="50" spans="1:13" x14ac:dyDescent="0.25">
      <c r="A50" s="14">
        <v>46</v>
      </c>
      <c r="B50" s="15" t="s">
        <v>1802</v>
      </c>
      <c r="C50" s="14" t="s">
        <v>1803</v>
      </c>
      <c r="D50" s="14" t="s">
        <v>1804</v>
      </c>
      <c r="E50" s="14" t="s">
        <v>1805</v>
      </c>
      <c r="F50" s="14" t="s">
        <v>1806</v>
      </c>
      <c r="G50" s="14" t="s">
        <v>567</v>
      </c>
      <c r="H50" s="14" t="s">
        <v>1807</v>
      </c>
      <c r="I50" s="14" t="str">
        <f>HYPERLINK("https://he-eppat.vercel.app/Backlog-IDDS-OB-BAYAR-Prototype.html","https://he-eppat.vercel.app/Backlog-IDDS-OB-BAYAR-Prototype.html")</f>
        <v>https://he-eppat.vercel.app/Backlog-IDDS-OB-BAYAR-Prototype.html</v>
      </c>
      <c r="J50" s="14" t="s">
        <v>1808</v>
      </c>
      <c r="K50" s="12" t="s">
        <v>541</v>
      </c>
      <c r="L50" s="12" t="s">
        <v>27</v>
      </c>
      <c r="M50" s="16">
        <v>46321</v>
      </c>
    </row>
    <row r="51" spans="1:13" x14ac:dyDescent="0.25">
      <c r="A51" s="10">
        <v>47</v>
      </c>
      <c r="B51" s="11" t="s">
        <v>1809</v>
      </c>
      <c r="C51" s="10" t="s">
        <v>1803</v>
      </c>
      <c r="D51" s="10" t="s">
        <v>1810</v>
      </c>
      <c r="E51" s="10" t="s">
        <v>1811</v>
      </c>
      <c r="F51" s="10" t="s">
        <v>1812</v>
      </c>
      <c r="G51" s="10" t="s">
        <v>567</v>
      </c>
      <c r="H51" s="10" t="s">
        <v>1807</v>
      </c>
      <c r="I51" s="10" t="str">
        <f>HYPERLINK("https://he-eppat.vercel.app/Backlog-IDDS-OB-BAYAR-Prototype.html","https://he-eppat.vercel.app/Backlog-IDDS-OB-BAYAR-Prototype.html")</f>
        <v>https://he-eppat.vercel.app/Backlog-IDDS-OB-BAYAR-Prototype.html</v>
      </c>
      <c r="J51" s="10" t="s">
        <v>1813</v>
      </c>
      <c r="K51" s="12" t="s">
        <v>541</v>
      </c>
      <c r="L51" s="12" t="s">
        <v>27</v>
      </c>
      <c r="M51" s="13">
        <v>46321</v>
      </c>
    </row>
    <row r="52" spans="1:13" x14ac:dyDescent="0.25">
      <c r="A52" s="14">
        <v>48</v>
      </c>
      <c r="B52" s="15" t="s">
        <v>1814</v>
      </c>
      <c r="C52" s="14" t="s">
        <v>1803</v>
      </c>
      <c r="D52" s="14" t="s">
        <v>1815</v>
      </c>
      <c r="E52" s="14" t="s">
        <v>1816</v>
      </c>
      <c r="F52" s="14" t="s">
        <v>1817</v>
      </c>
      <c r="G52" s="14" t="s">
        <v>567</v>
      </c>
      <c r="H52" s="14" t="s">
        <v>1807</v>
      </c>
      <c r="I52" s="14" t="str">
        <f>HYPERLINK("https://he-eppat.vercel.app/Backlog-IDDS-OB-BAYAR-Prototype.html","https://he-eppat.vercel.app/Backlog-IDDS-OB-BAYAR-Prototype.html")</f>
        <v>https://he-eppat.vercel.app/Backlog-IDDS-OB-BAYAR-Prototype.html</v>
      </c>
      <c r="J52" s="14" t="s">
        <v>1818</v>
      </c>
      <c r="K52" s="12" t="s">
        <v>541</v>
      </c>
      <c r="L52" s="12" t="s">
        <v>27</v>
      </c>
      <c r="M52" s="16">
        <v>46321</v>
      </c>
    </row>
    <row r="53" spans="1:13" x14ac:dyDescent="0.25">
      <c r="A53" s="10">
        <v>49</v>
      </c>
      <c r="B53" s="11" t="s">
        <v>1819</v>
      </c>
      <c r="C53" s="10" t="s">
        <v>1803</v>
      </c>
      <c r="D53" s="10" t="s">
        <v>1820</v>
      </c>
      <c r="E53" s="10" t="s">
        <v>1821</v>
      </c>
      <c r="F53" s="10" t="s">
        <v>1822</v>
      </c>
      <c r="G53" s="10" t="s">
        <v>567</v>
      </c>
      <c r="H53" s="10" t="s">
        <v>1807</v>
      </c>
      <c r="I53" s="10" t="str">
        <f>HYPERLINK("https://he-eppat.vercel.app/Backlog-IDDS-OB-BAYAR-Prototype.html","https://he-eppat.vercel.app/Backlog-IDDS-OB-BAYAR-Prototype.html")</f>
        <v>https://he-eppat.vercel.app/Backlog-IDDS-OB-BAYAR-Prototype.html</v>
      </c>
      <c r="J53" s="10" t="s">
        <v>1823</v>
      </c>
      <c r="K53" s="12" t="s">
        <v>541</v>
      </c>
      <c r="L53" s="12" t="s">
        <v>27</v>
      </c>
      <c r="M53" s="13">
        <v>46321</v>
      </c>
    </row>
    <row r="54" spans="1:13" x14ac:dyDescent="0.25">
      <c r="A54" s="14">
        <v>50</v>
      </c>
      <c r="B54" s="15" t="s">
        <v>1824</v>
      </c>
      <c r="C54" s="14" t="s">
        <v>1803</v>
      </c>
      <c r="D54" s="14" t="s">
        <v>1825</v>
      </c>
      <c r="E54" s="14" t="s">
        <v>1826</v>
      </c>
      <c r="F54" s="14" t="s">
        <v>1827</v>
      </c>
      <c r="G54" s="14" t="s">
        <v>567</v>
      </c>
      <c r="H54" s="14" t="s">
        <v>1807</v>
      </c>
      <c r="I54" s="14" t="str">
        <f>HYPERLINK("https://he-eppat.vercel.app/Backlog-IDDS-OB-BAYAR-Prototype.html","https://he-eppat.vercel.app/Backlog-IDDS-OB-BAYAR-Prototype.html")</f>
        <v>https://he-eppat.vercel.app/Backlog-IDDS-OB-BAYAR-Prototype.html</v>
      </c>
      <c r="J54" s="14" t="s">
        <v>1828</v>
      </c>
      <c r="K54" s="12" t="s">
        <v>541</v>
      </c>
      <c r="L54" s="12" t="s">
        <v>27</v>
      </c>
      <c r="M54" s="16">
        <v>46321</v>
      </c>
    </row>
    <row r="55" spans="1:13" x14ac:dyDescent="0.25">
      <c r="A55" s="10">
        <v>51</v>
      </c>
      <c r="B55" s="11" t="s">
        <v>1829</v>
      </c>
      <c r="C55" s="10" t="s">
        <v>1803</v>
      </c>
      <c r="D55" s="10" t="s">
        <v>1830</v>
      </c>
      <c r="E55" s="10" t="s">
        <v>1831</v>
      </c>
      <c r="F55" s="10" t="s">
        <v>1832</v>
      </c>
      <c r="G55" s="10" t="s">
        <v>567</v>
      </c>
      <c r="H55" s="10" t="s">
        <v>1807</v>
      </c>
      <c r="I55" s="10" t="str">
        <f>HYPERLINK("https://he-eppat.vercel.app/Backlog-IDDS-OB-BAYAR-Prototype.html","https://he-eppat.vercel.app/Backlog-IDDS-OB-BAYAR-Prototype.html")</f>
        <v>https://he-eppat.vercel.app/Backlog-IDDS-OB-BAYAR-Prototype.html</v>
      </c>
      <c r="J55" s="10" t="s">
        <v>1833</v>
      </c>
      <c r="K55" s="12" t="s">
        <v>541</v>
      </c>
      <c r="L55" s="12" t="s">
        <v>27</v>
      </c>
      <c r="M55" s="13">
        <v>46321</v>
      </c>
    </row>
    <row r="56" spans="1:13" x14ac:dyDescent="0.25">
      <c r="A56" s="14">
        <v>52</v>
      </c>
      <c r="B56" s="15" t="s">
        <v>1834</v>
      </c>
      <c r="C56" s="14" t="s">
        <v>1803</v>
      </c>
      <c r="D56" s="14" t="s">
        <v>1835</v>
      </c>
      <c r="E56" s="14" t="s">
        <v>1836</v>
      </c>
      <c r="F56" s="14" t="s">
        <v>1837</v>
      </c>
      <c r="G56" s="14" t="s">
        <v>567</v>
      </c>
      <c r="H56" s="14" t="s">
        <v>1807</v>
      </c>
      <c r="I56" s="14" t="str">
        <f>HYPERLINK("https://he-eppat.vercel.app/Backlog-IDDS-OB-BAYAR-Prototype.html","https://he-eppat.vercel.app/Backlog-IDDS-OB-BAYAR-Prototype.html")</f>
        <v>https://he-eppat.vercel.app/Backlog-IDDS-OB-BAYAR-Prototype.html</v>
      </c>
      <c r="J56" s="14" t="s">
        <v>1838</v>
      </c>
      <c r="K56" s="12" t="s">
        <v>541</v>
      </c>
      <c r="L56" s="12" t="s">
        <v>27</v>
      </c>
      <c r="M56" s="16">
        <v>46321</v>
      </c>
    </row>
    <row r="57" spans="1:13" x14ac:dyDescent="0.25">
      <c r="A57" s="10">
        <v>53</v>
      </c>
      <c r="B57" s="11" t="s">
        <v>1839</v>
      </c>
      <c r="C57" s="10" t="s">
        <v>1803</v>
      </c>
      <c r="D57" s="10" t="s">
        <v>1840</v>
      </c>
      <c r="E57" s="10" t="s">
        <v>1841</v>
      </c>
      <c r="F57" s="10" t="s">
        <v>1842</v>
      </c>
      <c r="G57" s="10" t="s">
        <v>567</v>
      </c>
      <c r="H57" s="10" t="s">
        <v>1807</v>
      </c>
      <c r="I57" s="10" t="str">
        <f>HYPERLINK("https://he-eppat.vercel.app/Backlog-IDDS-OB-BAYAR-Prototype.html","https://he-eppat.vercel.app/Backlog-IDDS-OB-BAYAR-Prototype.html")</f>
        <v>https://he-eppat.vercel.app/Backlog-IDDS-OB-BAYAR-Prototype.html</v>
      </c>
      <c r="J57" s="10" t="s">
        <v>1843</v>
      </c>
      <c r="K57" s="12" t="s">
        <v>541</v>
      </c>
      <c r="L57" s="12" t="s">
        <v>27</v>
      </c>
      <c r="M57" s="13">
        <v>46321</v>
      </c>
    </row>
    <row r="58" spans="1:13" x14ac:dyDescent="0.25">
      <c r="A58" s="14">
        <v>54</v>
      </c>
      <c r="B58" s="15" t="s">
        <v>1844</v>
      </c>
      <c r="C58" s="14" t="s">
        <v>1803</v>
      </c>
      <c r="D58" s="14" t="s">
        <v>1845</v>
      </c>
      <c r="E58" s="14" t="s">
        <v>1846</v>
      </c>
      <c r="F58" s="14" t="s">
        <v>1847</v>
      </c>
      <c r="G58" s="14" t="s">
        <v>567</v>
      </c>
      <c r="H58" s="14" t="s">
        <v>1807</v>
      </c>
      <c r="I58" s="14" t="str">
        <f>HYPERLINK("https://he-eppat.vercel.app/Backlog-IDDS-OB-BAYAR-Prototype.html","https://he-eppat.vercel.app/Backlog-IDDS-OB-BAYAR-Prototype.html")</f>
        <v>https://he-eppat.vercel.app/Backlog-IDDS-OB-BAYAR-Prototype.html</v>
      </c>
      <c r="J58" s="14" t="s">
        <v>1848</v>
      </c>
      <c r="K58" s="12" t="s">
        <v>541</v>
      </c>
      <c r="L58" s="12" t="s">
        <v>27</v>
      </c>
      <c r="M58" s="16">
        <v>46321</v>
      </c>
    </row>
    <row r="59" spans="1:13" x14ac:dyDescent="0.25">
      <c r="A59" s="10">
        <v>55</v>
      </c>
      <c r="B59" s="11" t="s">
        <v>1849</v>
      </c>
      <c r="C59" s="10" t="s">
        <v>1803</v>
      </c>
      <c r="D59" s="10" t="s">
        <v>1850</v>
      </c>
      <c r="E59" s="10" t="s">
        <v>1851</v>
      </c>
      <c r="F59" s="10" t="s">
        <v>1852</v>
      </c>
      <c r="G59" s="10" t="s">
        <v>567</v>
      </c>
      <c r="H59" s="10" t="s">
        <v>1807</v>
      </c>
      <c r="I59" s="10" t="str">
        <f>HYPERLINK("https://he-eppat.vercel.app/Backlog-IDDS-OB-BAYAR-Prototype.html","https://he-eppat.vercel.app/Backlog-IDDS-OB-BAYAR-Prototype.html")</f>
        <v>https://he-eppat.vercel.app/Backlog-IDDS-OB-BAYAR-Prototype.html</v>
      </c>
      <c r="J59" s="10" t="s">
        <v>1853</v>
      </c>
      <c r="K59" s="12" t="s">
        <v>541</v>
      </c>
      <c r="L59" s="12" t="s">
        <v>27</v>
      </c>
      <c r="M59" s="13">
        <v>46321</v>
      </c>
    </row>
    <row r="60" spans="1:13" x14ac:dyDescent="0.25">
      <c r="A60" s="14">
        <v>56</v>
      </c>
      <c r="B60" s="15" t="s">
        <v>1854</v>
      </c>
      <c r="C60" s="14" t="s">
        <v>1803</v>
      </c>
      <c r="D60" s="14" t="s">
        <v>1855</v>
      </c>
      <c r="E60" s="14" t="s">
        <v>1856</v>
      </c>
      <c r="F60" s="14" t="s">
        <v>1857</v>
      </c>
      <c r="G60" s="14" t="s">
        <v>567</v>
      </c>
      <c r="H60" s="14" t="s">
        <v>1807</v>
      </c>
      <c r="I60" s="14" t="str">
        <f>HYPERLINK("https://he-eppat.vercel.app/Backlog-IDDS-OB-BAYAR-Prototype.html","https://he-eppat.vercel.app/Backlog-IDDS-OB-BAYAR-Prototype.html")</f>
        <v>https://he-eppat.vercel.app/Backlog-IDDS-OB-BAYAR-Prototype.html</v>
      </c>
      <c r="J60" s="14" t="s">
        <v>1858</v>
      </c>
      <c r="K60" s="12" t="s">
        <v>541</v>
      </c>
      <c r="L60" s="12" t="s">
        <v>27</v>
      </c>
      <c r="M60" s="16">
        <v>46321</v>
      </c>
    </row>
    <row r="61" spans="1:13" x14ac:dyDescent="0.25">
      <c r="A61" s="10">
        <v>57</v>
      </c>
      <c r="B61" s="11" t="s">
        <v>1859</v>
      </c>
      <c r="C61" s="10" t="s">
        <v>1803</v>
      </c>
      <c r="D61" s="10" t="s">
        <v>1860</v>
      </c>
      <c r="E61" s="10" t="s">
        <v>1861</v>
      </c>
      <c r="F61" s="10" t="s">
        <v>1862</v>
      </c>
      <c r="G61" s="10" t="s">
        <v>567</v>
      </c>
      <c r="H61" s="10" t="s">
        <v>1807</v>
      </c>
      <c r="I61" s="10" t="str">
        <f>HYPERLINK("https://he-eppat.vercel.app/Backlog-IDDS-OB-BAYAR-Prototype.html","https://he-eppat.vercel.app/Backlog-IDDS-OB-BAYAR-Prototype.html")</f>
        <v>https://he-eppat.vercel.app/Backlog-IDDS-OB-BAYAR-Prototype.html</v>
      </c>
      <c r="J61" s="10" t="s">
        <v>1863</v>
      </c>
      <c r="K61" s="12" t="s">
        <v>541</v>
      </c>
      <c r="L61" s="12" t="s">
        <v>27</v>
      </c>
      <c r="M61" s="13">
        <v>46321</v>
      </c>
    </row>
    <row r="62" spans="1:13" x14ac:dyDescent="0.25">
      <c r="A62" s="14">
        <v>58</v>
      </c>
      <c r="B62" s="15" t="s">
        <v>1864</v>
      </c>
      <c r="C62" s="14" t="s">
        <v>1803</v>
      </c>
      <c r="D62" s="14" t="s">
        <v>1865</v>
      </c>
      <c r="E62" s="14" t="s">
        <v>1866</v>
      </c>
      <c r="F62" s="14" t="s">
        <v>1867</v>
      </c>
      <c r="G62" s="14" t="s">
        <v>567</v>
      </c>
      <c r="H62" s="14" t="s">
        <v>1807</v>
      </c>
      <c r="I62" s="14" t="str">
        <f>HYPERLINK("https://he-eppat.vercel.app/Backlog-IDDS-OB-BAYAR-Prototype.html","https://he-eppat.vercel.app/Backlog-IDDS-OB-BAYAR-Prototype.html")</f>
        <v>https://he-eppat.vercel.app/Backlog-IDDS-OB-BAYAR-Prototype.html</v>
      </c>
      <c r="J62" s="14" t="s">
        <v>1868</v>
      </c>
      <c r="K62" s="12" t="s">
        <v>541</v>
      </c>
      <c r="L62" s="12" t="s">
        <v>27</v>
      </c>
      <c r="M62" s="16">
        <v>46321</v>
      </c>
    </row>
    <row r="63" spans="1:13" x14ac:dyDescent="0.25">
      <c r="A63" s="10">
        <v>59</v>
      </c>
      <c r="B63" s="11" t="s">
        <v>1869</v>
      </c>
      <c r="C63" s="10" t="s">
        <v>1803</v>
      </c>
      <c r="D63" s="10" t="s">
        <v>1870</v>
      </c>
      <c r="E63" s="10" t="s">
        <v>1871</v>
      </c>
      <c r="F63" s="10" t="s">
        <v>1872</v>
      </c>
      <c r="G63" s="10" t="s">
        <v>567</v>
      </c>
      <c r="H63" s="10" t="s">
        <v>1807</v>
      </c>
      <c r="I63" s="10" t="str">
        <f>HYPERLINK("https://he-eppat.vercel.app/Backlog-IDDS-OB-BAYAR-Prototype.html","https://he-eppat.vercel.app/Backlog-IDDS-OB-BAYAR-Prototype.html")</f>
        <v>https://he-eppat.vercel.app/Backlog-IDDS-OB-BAYAR-Prototype.html</v>
      </c>
      <c r="J63" s="10" t="s">
        <v>1873</v>
      </c>
      <c r="K63" s="12" t="s">
        <v>541</v>
      </c>
      <c r="L63" s="12" t="s">
        <v>27</v>
      </c>
      <c r="M63" s="13">
        <v>46321</v>
      </c>
    </row>
    <row r="64" spans="1:13" x14ac:dyDescent="0.25">
      <c r="A64" s="14">
        <v>60</v>
      </c>
      <c r="B64" s="15" t="s">
        <v>1874</v>
      </c>
      <c r="C64" s="14" t="s">
        <v>1803</v>
      </c>
      <c r="D64" s="14" t="s">
        <v>1875</v>
      </c>
      <c r="E64" s="14" t="s">
        <v>1876</v>
      </c>
      <c r="F64" s="14" t="s">
        <v>1877</v>
      </c>
      <c r="G64" s="14" t="s">
        <v>567</v>
      </c>
      <c r="H64" s="14" t="s">
        <v>1807</v>
      </c>
      <c r="I64" s="14" t="str">
        <f>HYPERLINK("https://he-eppat.vercel.app/Backlog-IDDS-OB-BAYAR-Prototype.html","https://he-eppat.vercel.app/Backlog-IDDS-OB-BAYAR-Prototype.html")</f>
        <v>https://he-eppat.vercel.app/Backlog-IDDS-OB-BAYAR-Prototype.html</v>
      </c>
      <c r="J64" s="14" t="s">
        <v>1878</v>
      </c>
      <c r="K64" s="12" t="s">
        <v>541</v>
      </c>
      <c r="L64" s="12" t="s">
        <v>27</v>
      </c>
      <c r="M64" s="16">
        <v>46321</v>
      </c>
    </row>
    <row r="65" spans="7:11" x14ac:dyDescent="0.25"/>
    <row r="66" spans="7:11" x14ac:dyDescent="0.25"/>
    <row r="67" spans="7:11" x14ac:dyDescent="0.25"/>
    <row r="68" spans="7:11" x14ac:dyDescent="0.25"/>
    <row r="69" spans="7:11" x14ac:dyDescent="0.25"/>
    <row r="70" spans="7:11" x14ac:dyDescent="0.25"/>
    <row r="71" spans="7:11" x14ac:dyDescent="0.25"/>
    <row r="72" spans="7:11" x14ac:dyDescent="0.25"/>
    <row r="73" spans="7:11" x14ac:dyDescent="0.25"/>
    <row r="74" spans="7:11" x14ac:dyDescent="0.25"/>
    <row r="75" spans="7:11" x14ac:dyDescent="0.25"/>
    <row r="76" spans="7:11" x14ac:dyDescent="0.25"/>
    <row r="77" spans="7:11" x14ac:dyDescent="0.25"/>
    <row r="78" spans="7:11" x14ac:dyDescent="0.25"/>
    <row r="79" spans="7:11" x14ac:dyDescent="0.25"/>
    <row r="80" spans="7:11" x14ac:dyDescent="0.25"/>
    <row r="81" spans="7:11" x14ac:dyDescent="0.25"/>
    <row r="82" spans="7:11" x14ac:dyDescent="0.25"/>
    <row r="83" spans="7:11" x14ac:dyDescent="0.25"/>
    <row r="84" spans="7:11" x14ac:dyDescent="0.25"/>
    <row r="85" spans="7:11" x14ac:dyDescent="0.25"/>
    <row r="86" spans="7:11" x14ac:dyDescent="0.25"/>
    <row r="87" spans="7:11" x14ac:dyDescent="0.25"/>
    <row r="88" spans="7:11" x14ac:dyDescent="0.25"/>
    <row r="89" spans="7:11" x14ac:dyDescent="0.25"/>
    <row r="90" spans="7:11" x14ac:dyDescent="0.25"/>
    <row r="91" spans="7:11" x14ac:dyDescent="0.25"/>
    <row r="92" spans="7:11" x14ac:dyDescent="0.25"/>
    <row r="93" spans="7:11" x14ac:dyDescent="0.25"/>
    <row r="94" spans="7:11" x14ac:dyDescent="0.25"/>
    <row r="95" spans="7:11" x14ac:dyDescent="0.25"/>
    <row r="96" spans="7:11" x14ac:dyDescent="0.25"/>
    <row r="97" spans="7:11" x14ac:dyDescent="0.25"/>
    <row r="98" spans="7:11" x14ac:dyDescent="0.25"/>
    <row r="99" spans="7:11" x14ac:dyDescent="0.25"/>
    <row r="100" spans="7:11" x14ac:dyDescent="0.25"/>
    <row r="101" spans="7:11" x14ac:dyDescent="0.25"/>
    <row r="102" spans="7:11" x14ac:dyDescent="0.25"/>
    <row r="103" spans="7:11" x14ac:dyDescent="0.25"/>
    <row r="104" spans="7:11" x14ac:dyDescent="0.25"/>
    <row r="105" spans="7:11" x14ac:dyDescent="0.25"/>
    <row r="106" spans="7:11" x14ac:dyDescent="0.25"/>
    <row r="107" spans="7:11" x14ac:dyDescent="0.25"/>
    <row r="108" spans="7:11" x14ac:dyDescent="0.25"/>
    <row r="109" spans="7:11" x14ac:dyDescent="0.25"/>
    <row r="110" spans="7:11" x14ac:dyDescent="0.25"/>
    <row r="111" spans="7:11" x14ac:dyDescent="0.25"/>
    <row r="112" spans="7:11" x14ac:dyDescent="0.25"/>
    <row r="113" spans="7:11" x14ac:dyDescent="0.25"/>
    <row r="114" spans="7:11" x14ac:dyDescent="0.25"/>
    <row r="115" spans="7:11" x14ac:dyDescent="0.25"/>
    <row r="116" spans="7:11" x14ac:dyDescent="0.25"/>
    <row r="117" spans="7:11" x14ac:dyDescent="0.25"/>
    <row r="118" spans="7:11" x14ac:dyDescent="0.25"/>
    <row r="119" spans="7:11" x14ac:dyDescent="0.25"/>
    <row r="120" spans="7:11" x14ac:dyDescent="0.25"/>
    <row r="121" spans="7:11" x14ac:dyDescent="0.25"/>
    <row r="122" spans="7:11" x14ac:dyDescent="0.25"/>
    <row r="123" spans="7:11" x14ac:dyDescent="0.25"/>
    <row r="124" spans="7:11" x14ac:dyDescent="0.25"/>
    <row r="125" spans="7:11" x14ac:dyDescent="0.25"/>
    <row r="126" spans="7:11" x14ac:dyDescent="0.25"/>
    <row r="127" spans="7:11" x14ac:dyDescent="0.25"/>
    <row r="128" spans="7:11" x14ac:dyDescent="0.25"/>
    <row r="129" spans="7:11" x14ac:dyDescent="0.25"/>
    <row r="130" spans="7:11" x14ac:dyDescent="0.25"/>
    <row r="131" spans="7:11" x14ac:dyDescent="0.25"/>
    <row r="132" spans="7:11" x14ac:dyDescent="0.25"/>
    <row r="133" spans="7:11" x14ac:dyDescent="0.25"/>
    <row r="134" spans="7:11" x14ac:dyDescent="0.25"/>
    <row r="135" spans="7:11" x14ac:dyDescent="0.25"/>
    <row r="136" spans="7:11" x14ac:dyDescent="0.25"/>
    <row r="137" spans="7:11" x14ac:dyDescent="0.25"/>
    <row r="138" spans="7:11" x14ac:dyDescent="0.25"/>
    <row r="139" spans="7:11" x14ac:dyDescent="0.25"/>
    <row r="140" spans="7:11" x14ac:dyDescent="0.25"/>
    <row r="141" spans="7:11" x14ac:dyDescent="0.25"/>
    <row r="142" spans="7:11" x14ac:dyDescent="0.25"/>
    <row r="143" spans="7:11" x14ac:dyDescent="0.25"/>
    <row r="144" spans="7:11" x14ac:dyDescent="0.25"/>
    <row r="145" spans="7:11" x14ac:dyDescent="0.25"/>
    <row r="146" spans="7:11" x14ac:dyDescent="0.25"/>
    <row r="147" spans="7:11" x14ac:dyDescent="0.25"/>
    <row r="148" spans="7:11" x14ac:dyDescent="0.25"/>
    <row r="149" spans="7:11" x14ac:dyDescent="0.25"/>
    <row r="150" spans="7:11" x14ac:dyDescent="0.25"/>
    <row r="151" spans="7:11" x14ac:dyDescent="0.25"/>
    <row r="152" spans="7:11" x14ac:dyDescent="0.25"/>
    <row r="153" spans="7:11" x14ac:dyDescent="0.25"/>
    <row r="154" spans="7:11" x14ac:dyDescent="0.25"/>
    <row r="155" spans="7:11" x14ac:dyDescent="0.25"/>
    <row r="156" spans="7:11" x14ac:dyDescent="0.25"/>
    <row r="157" spans="7:11" x14ac:dyDescent="0.25"/>
    <row r="158" spans="7:11" x14ac:dyDescent="0.25"/>
    <row r="159" spans="7:11" x14ac:dyDescent="0.25"/>
    <row r="160" spans="7:11" x14ac:dyDescent="0.25"/>
    <row r="161" spans="7:11" x14ac:dyDescent="0.25"/>
    <row r="162" spans="7:11" x14ac:dyDescent="0.25"/>
    <row r="163" spans="7:11" x14ac:dyDescent="0.25"/>
    <row r="164" spans="7:11" x14ac:dyDescent="0.25"/>
    <row r="165" spans="7:11" x14ac:dyDescent="0.25"/>
    <row r="166" spans="7:11" x14ac:dyDescent="0.25"/>
    <row r="167" spans="7:11" x14ac:dyDescent="0.25"/>
    <row r="168" spans="7:11" x14ac:dyDescent="0.25"/>
    <row r="169" spans="7:11" x14ac:dyDescent="0.25"/>
    <row r="170" spans="7:11" x14ac:dyDescent="0.25"/>
    <row r="171" spans="7:11" x14ac:dyDescent="0.25"/>
    <row r="172" spans="7:11" x14ac:dyDescent="0.25"/>
    <row r="173" spans="7:11" x14ac:dyDescent="0.25"/>
    <row r="174" spans="7:11" x14ac:dyDescent="0.25"/>
    <row r="175" spans="7:11" x14ac:dyDescent="0.25"/>
    <row r="176" spans="7:11" x14ac:dyDescent="0.25"/>
    <row r="177" spans="7:11" x14ac:dyDescent="0.25"/>
    <row r="178" spans="7:11" x14ac:dyDescent="0.25"/>
    <row r="179" spans="7:11" x14ac:dyDescent="0.25"/>
    <row r="180" spans="7:11" x14ac:dyDescent="0.25"/>
    <row r="181" spans="7:11" x14ac:dyDescent="0.25"/>
    <row r="182" spans="7:11" x14ac:dyDescent="0.25"/>
    <row r="183" spans="7:11" x14ac:dyDescent="0.25"/>
    <row r="184" spans="7:11" x14ac:dyDescent="0.25"/>
    <row r="185" spans="7:11" x14ac:dyDescent="0.25"/>
    <row r="186" spans="7:11" x14ac:dyDescent="0.25"/>
    <row r="187" spans="7:11" x14ac:dyDescent="0.25"/>
    <row r="188" spans="7:11" x14ac:dyDescent="0.25"/>
    <row r="189" spans="7:11" x14ac:dyDescent="0.25"/>
    <row r="190" spans="7:11" x14ac:dyDescent="0.25"/>
    <row r="191" spans="7:11" x14ac:dyDescent="0.25"/>
    <row r="192" spans="7:11" x14ac:dyDescent="0.25"/>
    <row r="193" spans="7:11" x14ac:dyDescent="0.25"/>
    <row r="194" spans="7:11" x14ac:dyDescent="0.25"/>
    <row r="195" spans="7:11" x14ac:dyDescent="0.25"/>
    <row r="196" spans="7:11" x14ac:dyDescent="0.25"/>
    <row r="197" spans="7:11" x14ac:dyDescent="0.25"/>
    <row r="198" spans="7:11" x14ac:dyDescent="0.25"/>
    <row r="199" spans="7:11" x14ac:dyDescent="0.25"/>
    <row r="200" spans="7:11" x14ac:dyDescent="0.25"/>
    <row r="201" spans="7:11" x14ac:dyDescent="0.25"/>
    <row r="202" spans="7:11" x14ac:dyDescent="0.25"/>
    <row r="203" spans="7:11" x14ac:dyDescent="0.25"/>
    <row r="204" spans="7:11" x14ac:dyDescent="0.25"/>
    <row r="205" spans="7:11" x14ac:dyDescent="0.25"/>
    <row r="206" spans="7:11" x14ac:dyDescent="0.25"/>
    <row r="207" spans="7:11" x14ac:dyDescent="0.25"/>
    <row r="208" spans="7:11" x14ac:dyDescent="0.25"/>
    <row r="209" spans="7:11" x14ac:dyDescent="0.25"/>
    <row r="210" spans="7:11" x14ac:dyDescent="0.25"/>
    <row r="211" spans="7:11" x14ac:dyDescent="0.25"/>
    <row r="212" spans="7:11" x14ac:dyDescent="0.25"/>
    <row r="213" spans="7:11" x14ac:dyDescent="0.25"/>
    <row r="214" spans="7:11" x14ac:dyDescent="0.25"/>
    <row r="215" spans="7:11" x14ac:dyDescent="0.25"/>
    <row r="216" spans="7:11" x14ac:dyDescent="0.25"/>
    <row r="217" spans="7:11" x14ac:dyDescent="0.25"/>
    <row r="218" spans="7:11" x14ac:dyDescent="0.25"/>
    <row r="219" spans="7:11" x14ac:dyDescent="0.25"/>
    <row r="220" spans="7:11" x14ac:dyDescent="0.25"/>
    <row r="221" spans="7:11" x14ac:dyDescent="0.25"/>
    <row r="222" spans="7:11" x14ac:dyDescent="0.25"/>
    <row r="223" spans="7:11" x14ac:dyDescent="0.25"/>
    <row r="224" spans="7:11" x14ac:dyDescent="0.25"/>
    <row r="225" spans="7:11" x14ac:dyDescent="0.25"/>
    <row r="226" spans="7:11" x14ac:dyDescent="0.25"/>
    <row r="227" spans="7:11" x14ac:dyDescent="0.25"/>
    <row r="228" spans="7:11" x14ac:dyDescent="0.25"/>
    <row r="229" spans="7:11" x14ac:dyDescent="0.25"/>
    <row r="230" spans="7:11" x14ac:dyDescent="0.25"/>
    <row r="231" spans="7:11" x14ac:dyDescent="0.25"/>
    <row r="232" spans="7:11" x14ac:dyDescent="0.25"/>
    <row r="233" spans="7:11" x14ac:dyDescent="0.25"/>
    <row r="234" spans="7:11" x14ac:dyDescent="0.25"/>
    <row r="235" spans="7:11" x14ac:dyDescent="0.25"/>
    <row r="236" spans="7:11" x14ac:dyDescent="0.25"/>
    <row r="237" spans="7:11" x14ac:dyDescent="0.25"/>
    <row r="238" spans="7:11" x14ac:dyDescent="0.25"/>
    <row r="239" spans="7:11" x14ac:dyDescent="0.25"/>
    <row r="240" spans="7:11" x14ac:dyDescent="0.25"/>
    <row r="241" spans="7:11" x14ac:dyDescent="0.25"/>
    <row r="242" spans="7:11" x14ac:dyDescent="0.25"/>
    <row r="243" spans="7:11" x14ac:dyDescent="0.25"/>
    <row r="244" spans="7:11" x14ac:dyDescent="0.25"/>
    <row r="245" spans="7:11" x14ac:dyDescent="0.25"/>
    <row r="246" spans="7:11" x14ac:dyDescent="0.25"/>
    <row r="247" spans="7:11" x14ac:dyDescent="0.25"/>
    <row r="248" spans="7:11" x14ac:dyDescent="0.25"/>
    <row r="249" spans="7:11" x14ac:dyDescent="0.25"/>
    <row r="250" spans="7:11" x14ac:dyDescent="0.25"/>
    <row r="251" spans="7:11" x14ac:dyDescent="0.25"/>
    <row r="252" spans="7:11" x14ac:dyDescent="0.25"/>
    <row r="253" spans="7:11" x14ac:dyDescent="0.25"/>
    <row r="254" spans="7:11" x14ac:dyDescent="0.25"/>
    <row r="255" spans="7:11" x14ac:dyDescent="0.25"/>
    <row r="256" spans="7:11" x14ac:dyDescent="0.25"/>
    <row r="257" spans="7:11" x14ac:dyDescent="0.25"/>
    <row r="258" spans="7:11" x14ac:dyDescent="0.25"/>
    <row r="259" spans="7:11" x14ac:dyDescent="0.25"/>
    <row r="260" spans="7:11" x14ac:dyDescent="0.25"/>
    <row r="261" spans="7:11" x14ac:dyDescent="0.25"/>
    <row r="262" spans="7:11" x14ac:dyDescent="0.25"/>
    <row r="263" spans="7:11" x14ac:dyDescent="0.25"/>
    <row r="264" spans="7:11" x14ac:dyDescent="0.25"/>
    <row r="265" spans="7:11" x14ac:dyDescent="0.25"/>
    <row r="266" spans="7:11" x14ac:dyDescent="0.25"/>
    <row r="267" spans="7:11" x14ac:dyDescent="0.25"/>
    <row r="268" spans="7:11" x14ac:dyDescent="0.25"/>
    <row r="269" spans="7:11" x14ac:dyDescent="0.25"/>
    <row r="270" spans="7:11" x14ac:dyDescent="0.25"/>
    <row r="271" spans="7:11" x14ac:dyDescent="0.25"/>
    <row r="272" spans="7:11" x14ac:dyDescent="0.25"/>
    <row r="273" spans="7:11" x14ac:dyDescent="0.25"/>
    <row r="274" spans="7:11" x14ac:dyDescent="0.25"/>
    <row r="275" spans="7:11" x14ac:dyDescent="0.25"/>
    <row r="276" spans="7:11" x14ac:dyDescent="0.25"/>
    <row r="277" spans="7:11" x14ac:dyDescent="0.25"/>
    <row r="278" spans="7:11" x14ac:dyDescent="0.25"/>
    <row r="279" spans="7:11" x14ac:dyDescent="0.25"/>
    <row r="280" spans="7:11" x14ac:dyDescent="0.25"/>
    <row r="281" spans="7:11" x14ac:dyDescent="0.25"/>
    <row r="282" spans="7:11" x14ac:dyDescent="0.25"/>
    <row r="283" spans="7:11" x14ac:dyDescent="0.25"/>
    <row r="284" spans="7:11" x14ac:dyDescent="0.25"/>
    <row r="285" spans="7:11" x14ac:dyDescent="0.25"/>
    <row r="286" spans="7:11" x14ac:dyDescent="0.25"/>
    <row r="287" spans="7:11" x14ac:dyDescent="0.25"/>
    <row r="288" spans="7:11" x14ac:dyDescent="0.25"/>
    <row r="289" spans="7:11" x14ac:dyDescent="0.25"/>
    <row r="290" spans="7:11" x14ac:dyDescent="0.25"/>
    <row r="291" spans="7:11" x14ac:dyDescent="0.25"/>
    <row r="292" spans="7:11" x14ac:dyDescent="0.25"/>
    <row r="293" spans="7:11" x14ac:dyDescent="0.25"/>
    <row r="294" spans="7:11" x14ac:dyDescent="0.25"/>
    <row r="295" spans="7:11" x14ac:dyDescent="0.25"/>
    <row r="296" spans="7:11" x14ac:dyDescent="0.25"/>
    <row r="297" spans="7:11" x14ac:dyDescent="0.25"/>
    <row r="298" spans="7:11" x14ac:dyDescent="0.25"/>
    <row r="299" spans="7:11" x14ac:dyDescent="0.25"/>
    <row r="300" spans="7:11" x14ac:dyDescent="0.25"/>
  </sheetData>
  <autoFilter ref="A4:M64"/>
  <mergeCells count="3">
    <mergeCell ref="A1:M1"/>
    <mergeCell ref="A2:M2"/>
    <mergeCell ref="A3:F3"/>
  </mergeCells>
  <dataValidations count="4">
    <dataValidation type="list" allowBlank="1" sqref="G10:G300">
      <formula1>"Tinggi,Sedang,Rendah"</formula1>
    </dataValidation>
    <dataValidation type="list" allowBlank="1" sqref="G5:G300">
      <formula1>"Tinggi,Sedang,Rendah"</formula1>
    </dataValidation>
    <dataValidation type="list" allowBlank="1" sqref="K10:K300">
      <formula1>"Usulan,Prototipe siap,Perlu konfirmasi,Disetujui,Dikerjakan developer,Selesai,Ditunda"</formula1>
    </dataValidation>
    <dataValidation type="list" allowBlank="1" sqref="K5:K300">
      <formula1>"Usulan,Prototipe siap,Perlu konfirmasi,Disetujui,Dikerjakan developer,Selesai,Ditunda"</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5"/>
  <sheetFormatPr defaultRowHeight="15" outlineLevelRow="0" outlineLevelCol="0" x14ac:dyDescent="55"/>
  <cols>
    <col min="1" max="1" width="30" customWidth="1"/>
    <col min="2" max="6" width="16" customWidth="1"/>
  </cols>
  <sheetData>
    <row r="1" ht="22" customHeight="1" spans="1:6" x14ac:dyDescent="0.25">
      <c r="A1" s="1" t="s">
        <v>1879</v>
      </c>
      <c r="B1" s="1"/>
      <c r="C1" s="1"/>
      <c r="D1" s="1"/>
      <c r="E1" s="1"/>
      <c r="F1" s="1"/>
    </row>
    <row r="2" spans="1:6" x14ac:dyDescent="0.25">
      <c r="A2" s="17" t="s">
        <v>1880</v>
      </c>
      <c r="B2" s="17"/>
      <c r="C2" s="17"/>
      <c r="D2" s="17"/>
      <c r="E2" s="17"/>
      <c r="F2" s="17"/>
    </row>
    <row r="4" ht="30" customHeight="1" spans="1:6" x14ac:dyDescent="0.25">
      <c r="A4" s="4" t="s">
        <v>528</v>
      </c>
      <c r="B4" s="4" t="s">
        <v>1881</v>
      </c>
      <c r="C4" s="4" t="s">
        <v>1882</v>
      </c>
      <c r="D4" s="4" t="s">
        <v>1883</v>
      </c>
      <c r="E4" s="4" t="s">
        <v>1884</v>
      </c>
      <c r="F4" s="4" t="s">
        <v>1885</v>
      </c>
    </row>
    <row r="5" spans="1:6" x14ac:dyDescent="0.25">
      <c r="A5" s="18" t="s">
        <v>1886</v>
      </c>
      <c r="B5" s="18">
        <f>COUNTIF('Usulan HE'!$N$5:$N$300,$A5)</f>
        <v>0</v>
      </c>
      <c r="C5" s="18">
        <f>COUNTIF('Penyesuaian IDDS Tenant'!$K$5:$K$300,$A5)</f>
        <v>0</v>
      </c>
      <c r="D5" s="18">
        <f>COUNTIF('Penyesuaian IDDS Platform'!$K$5:$K$300,$A5)</f>
        <v>0</v>
      </c>
      <c r="E5" s="18">
        <f>COUNTIF('Penyesuaian IDDS Onboarding'!$K$5:$K$300,$A5)</f>
        <v>0</v>
      </c>
      <c r="F5" s="18">
        <f>SUM(B5:E5)</f>
        <v>0</v>
      </c>
    </row>
    <row r="6" spans="1:6" x14ac:dyDescent="0.25">
      <c r="A6" s="18" t="s">
        <v>541</v>
      </c>
      <c r="B6" s="18">
        <f>COUNTIF('Usulan HE'!$N$5:$N$300,$A6)</f>
        <v>72</v>
      </c>
      <c r="C6" s="18">
        <f>COUNTIF('Penyesuaian IDDS Tenant'!$K$5:$K$300,$A6)</f>
        <v>40</v>
      </c>
      <c r="D6" s="18">
        <f>COUNTIF('Penyesuaian IDDS Platform'!$K$5:$K$300,$A6)</f>
        <v>41</v>
      </c>
      <c r="E6" s="18">
        <f>COUNTIF('Penyesuaian IDDS Onboarding'!$K$5:$K$300,$A6)</f>
        <v>60</v>
      </c>
      <c r="F6" s="18">
        <f>SUM(B6:E6)</f>
        <v>213</v>
      </c>
    </row>
    <row r="7" spans="1:6" x14ac:dyDescent="0.25">
      <c r="A7" s="18" t="s">
        <v>550</v>
      </c>
      <c r="B7" s="18">
        <f>COUNTIF('Usulan HE'!$N$5:$N$300,$A7)</f>
        <v>2</v>
      </c>
      <c r="C7" s="18">
        <f>COUNTIF('Penyesuaian IDDS Tenant'!$K$5:$K$300,$A7)</f>
        <v>0</v>
      </c>
      <c r="D7" s="18">
        <f>COUNTIF('Penyesuaian IDDS Platform'!$K$5:$K$300,$A7)</f>
        <v>0</v>
      </c>
      <c r="E7" s="18">
        <f>COUNTIF('Penyesuaian IDDS Onboarding'!$K$5:$K$300,$A7)</f>
        <v>0</v>
      </c>
      <c r="F7" s="18">
        <f>SUM(B7:E7)</f>
        <v>2</v>
      </c>
    </row>
    <row r="8" spans="1:6" x14ac:dyDescent="0.25">
      <c r="A8" s="18" t="s">
        <v>1887</v>
      </c>
      <c r="B8" s="18">
        <f>COUNTIF('Usulan HE'!$N$5:$N$300,$A8)</f>
        <v>0</v>
      </c>
      <c r="C8" s="18">
        <f>COUNTIF('Penyesuaian IDDS Tenant'!$K$5:$K$300,$A8)</f>
        <v>0</v>
      </c>
      <c r="D8" s="18">
        <f>COUNTIF('Penyesuaian IDDS Platform'!$K$5:$K$300,$A8)</f>
        <v>0</v>
      </c>
      <c r="E8" s="18">
        <f>COUNTIF('Penyesuaian IDDS Onboarding'!$K$5:$K$300,$A8)</f>
        <v>0</v>
      </c>
      <c r="F8" s="18">
        <f>SUM(B8:E8)</f>
        <v>0</v>
      </c>
    </row>
    <row r="9" spans="1:6" x14ac:dyDescent="0.25">
      <c r="A9" s="18" t="s">
        <v>1888</v>
      </c>
      <c r="B9" s="18">
        <f>COUNTIF('Usulan HE'!$N$5:$N$300,$A9)</f>
        <v>0</v>
      </c>
      <c r="C9" s="18">
        <f>COUNTIF('Penyesuaian IDDS Tenant'!$K$5:$K$300,$A9)</f>
        <v>0</v>
      </c>
      <c r="D9" s="18">
        <f>COUNTIF('Penyesuaian IDDS Platform'!$K$5:$K$300,$A9)</f>
        <v>0</v>
      </c>
      <c r="E9" s="18">
        <f>COUNTIF('Penyesuaian IDDS Onboarding'!$K$5:$K$300,$A9)</f>
        <v>0</v>
      </c>
      <c r="F9" s="18">
        <f>SUM(B9:E9)</f>
        <v>0</v>
      </c>
    </row>
    <row r="10" spans="1:6" x14ac:dyDescent="0.25">
      <c r="A10" s="18" t="s">
        <v>1889</v>
      </c>
      <c r="B10" s="18">
        <f>COUNTIF('Usulan HE'!$N$5:$N$300,$A10)</f>
        <v>0</v>
      </c>
      <c r="C10" s="18">
        <f>COUNTIF('Penyesuaian IDDS Tenant'!$K$5:$K$300,$A10)</f>
        <v>0</v>
      </c>
      <c r="D10" s="18">
        <f>COUNTIF('Penyesuaian IDDS Platform'!$K$5:$K$300,$A10)</f>
        <v>0</v>
      </c>
      <c r="E10" s="18">
        <f>COUNTIF('Penyesuaian IDDS Onboarding'!$K$5:$K$300,$A10)</f>
        <v>0</v>
      </c>
      <c r="F10" s="18">
        <f>SUM(B10:E10)</f>
        <v>0</v>
      </c>
    </row>
    <row r="11" spans="1:6" x14ac:dyDescent="0.25">
      <c r="A11" s="18" t="s">
        <v>1890</v>
      </c>
      <c r="B11" s="18">
        <f>COUNTIF('Usulan HE'!$N$5:$N$300,$A11)</f>
        <v>0</v>
      </c>
      <c r="C11" s="18">
        <f>COUNTIF('Penyesuaian IDDS Tenant'!$K$5:$K$300,$A11)</f>
        <v>0</v>
      </c>
      <c r="D11" s="18">
        <f>COUNTIF('Penyesuaian IDDS Platform'!$K$5:$K$300,$A11)</f>
        <v>0</v>
      </c>
      <c r="E11" s="18">
        <f>COUNTIF('Penyesuaian IDDS Onboarding'!$K$5:$K$300,$A11)</f>
        <v>0</v>
      </c>
      <c r="F11" s="18">
        <f>SUM(B11:E11)</f>
        <v>0</v>
      </c>
    </row>
    <row r="12" spans="1:6" x14ac:dyDescent="0.25">
      <c r="A12" s="19" t="s">
        <v>1885</v>
      </c>
      <c r="B12" s="19">
        <f>COUNTIF('Usulan HE'!$B$5:$B$300,"?*")</f>
        <v>74</v>
      </c>
      <c r="C12" s="19">
        <f>COUNTIF('Penyesuaian IDDS Tenant'!$B$5:$B$300,"?*")</f>
        <v>40</v>
      </c>
      <c r="D12" s="19">
        <f>COUNTIF('Penyesuaian IDDS Platform'!$B$5:$B$300,"?*")</f>
        <v>41</v>
      </c>
      <c r="E12" s="19">
        <f>COUNTIF('Penyesuaian IDDS Onboarding'!$B$5:$B$300,"?*")</f>
        <v>60</v>
      </c>
      <c r="F12" s="19">
        <f>SUM(B12:E12)</f>
        <v>215</v>
      </c>
    </row>
    <row r="14" ht="30" customHeight="1" spans="1:6" x14ac:dyDescent="0.25">
      <c r="A14" s="20" t="s">
        <v>525</v>
      </c>
      <c r="B14" s="20" t="s">
        <v>1881</v>
      </c>
      <c r="C14" s="20" t="s">
        <v>1882</v>
      </c>
      <c r="D14" s="20" t="s">
        <v>1883</v>
      </c>
      <c r="E14" s="20" t="s">
        <v>1884</v>
      </c>
      <c r="F14" s="20" t="s">
        <v>1885</v>
      </c>
    </row>
    <row r="15" spans="1:6" x14ac:dyDescent="0.25">
      <c r="A15" s="18" t="s">
        <v>538</v>
      </c>
      <c r="B15" s="18">
        <f>COUNTIF('Usulan HE'!$J$5:$J$300,$A15)</f>
        <v>32</v>
      </c>
      <c r="C15" s="18">
        <f>COUNTIF('Penyesuaian IDDS Tenant'!$G$5:$G$300,$A15)</f>
        <v>6</v>
      </c>
      <c r="D15" s="18">
        <f>COUNTIF('Penyesuaian IDDS Platform'!$G$5:$G$300,$A15)</f>
        <v>0</v>
      </c>
      <c r="E15" s="18">
        <f>COUNTIF('Penyesuaian IDDS Onboarding'!$G$5:$G$300,$A15)</f>
        <v>0</v>
      </c>
      <c r="F15" s="18">
        <f>SUM(B15:E15)</f>
        <v>38</v>
      </c>
    </row>
    <row r="16" spans="1:6" x14ac:dyDescent="0.25">
      <c r="A16" s="18" t="s">
        <v>567</v>
      </c>
      <c r="B16" s="18">
        <f>COUNTIF('Usulan HE'!$J$5:$J$300,$A16)</f>
        <v>31</v>
      </c>
      <c r="C16" s="18">
        <f>COUNTIF('Penyesuaian IDDS Tenant'!$G$5:$G$300,$A16)</f>
        <v>22</v>
      </c>
      <c r="D16" s="18">
        <f>COUNTIF('Penyesuaian IDDS Platform'!$G$5:$G$300,$A16)</f>
        <v>41</v>
      </c>
      <c r="E16" s="18">
        <f>COUNTIF('Penyesuaian IDDS Onboarding'!$G$5:$G$300,$A16)</f>
        <v>60</v>
      </c>
      <c r="F16" s="18">
        <f>SUM(B16:E16)</f>
        <v>154</v>
      </c>
    </row>
    <row r="17" spans="1:6" x14ac:dyDescent="0.25">
      <c r="A17" s="18" t="s">
        <v>641</v>
      </c>
      <c r="B17" s="18">
        <f>COUNTIF('Usulan HE'!$J$5:$J$300,$A17)</f>
        <v>11</v>
      </c>
      <c r="C17" s="18">
        <f>COUNTIF('Penyesuaian IDDS Tenant'!$G$5:$G$300,$A17)</f>
        <v>12</v>
      </c>
      <c r="D17" s="18">
        <f>COUNTIF('Penyesuaian IDDS Platform'!$G$5:$G$300,$A17)</f>
        <v>0</v>
      </c>
      <c r="E17" s="18">
        <f>COUNTIF('Penyesuaian IDDS Onboarding'!$G$5:$G$300,$A17)</f>
        <v>0</v>
      </c>
      <c r="F17" s="18">
        <f>SUM(B17:E17)</f>
        <v>23</v>
      </c>
    </row>
    <row r="19" ht="30" customHeight="1" spans="1:3" x14ac:dyDescent="0.25">
      <c r="A19" s="20" t="s">
        <v>1891</v>
      </c>
      <c r="B19" s="20" t="s">
        <v>1892</v>
      </c>
      <c r="C19" s="20" t="s">
        <v>1893</v>
      </c>
    </row>
    <row r="20" spans="1:3" x14ac:dyDescent="0.25">
      <c r="A20" s="18" t="s">
        <v>532</v>
      </c>
      <c r="B20" s="18" t="s">
        <v>1881</v>
      </c>
      <c r="C20" s="18">
        <f>COUNTIF('Usulan HE'!$D$5:$D$300,A20)</f>
        <v>2</v>
      </c>
    </row>
    <row r="21" spans="1:3" x14ac:dyDescent="0.25">
      <c r="A21" s="18" t="s">
        <v>436</v>
      </c>
      <c r="B21" s="18" t="s">
        <v>1881</v>
      </c>
      <c r="C21" s="18">
        <f>COUNTIF('Usulan HE'!$D$5:$D$300,A21)</f>
        <v>7</v>
      </c>
    </row>
    <row r="22" spans="1:3" x14ac:dyDescent="0.25">
      <c r="A22" s="18" t="s">
        <v>411</v>
      </c>
      <c r="B22" s="18" t="s">
        <v>1881</v>
      </c>
      <c r="C22" s="18">
        <f>COUNTIF('Usulan HE'!$D$5:$D$300,A22)</f>
        <v>8</v>
      </c>
    </row>
    <row r="23" spans="1:3" x14ac:dyDescent="0.25">
      <c r="A23" s="18" t="s">
        <v>665</v>
      </c>
      <c r="B23" s="18" t="s">
        <v>1881</v>
      </c>
      <c r="C23" s="18">
        <f>COUNTIF('Usulan HE'!$D$5:$D$300,A23)</f>
        <v>7</v>
      </c>
    </row>
    <row r="24" spans="1:3" x14ac:dyDescent="0.25">
      <c r="A24" s="18" t="s">
        <v>722</v>
      </c>
      <c r="B24" s="18" t="s">
        <v>1881</v>
      </c>
      <c r="C24" s="18">
        <f>COUNTIF('Usulan HE'!$D$5:$D$300,A24)</f>
        <v>12</v>
      </c>
    </row>
    <row r="25" spans="1:3" x14ac:dyDescent="0.25">
      <c r="A25" s="18" t="s">
        <v>768</v>
      </c>
      <c r="B25" s="18" t="s">
        <v>1881</v>
      </c>
      <c r="C25" s="18">
        <f>COUNTIF('Usulan HE'!$D$5:$D$300,A25)</f>
        <v>8</v>
      </c>
    </row>
    <row r="26" spans="1:3" x14ac:dyDescent="0.25">
      <c r="A26" s="18" t="s">
        <v>416</v>
      </c>
      <c r="B26" s="18" t="s">
        <v>1881</v>
      </c>
      <c r="C26" s="18">
        <f>COUNTIF('Usulan HE'!$D$5:$D$300,A26)</f>
        <v>1</v>
      </c>
    </row>
    <row r="27" spans="1:3" x14ac:dyDescent="0.25">
      <c r="A27" s="18" t="s">
        <v>837</v>
      </c>
      <c r="B27" s="18" t="s">
        <v>1881</v>
      </c>
      <c r="C27" s="18">
        <f>COUNTIF('Usulan HE'!$D$5:$D$300,A27)</f>
        <v>7</v>
      </c>
    </row>
    <row r="28" spans="1:3" x14ac:dyDescent="0.25">
      <c r="A28" s="18" t="s">
        <v>891</v>
      </c>
      <c r="B28" s="18" t="s">
        <v>1881</v>
      </c>
      <c r="C28" s="18">
        <f>COUNTIF('Usulan HE'!$D$5:$D$300,A28)</f>
        <v>5</v>
      </c>
    </row>
    <row r="29" spans="1:3" x14ac:dyDescent="0.25">
      <c r="A29" s="18" t="s">
        <v>927</v>
      </c>
      <c r="B29" s="18" t="s">
        <v>1881</v>
      </c>
      <c r="C29" s="18">
        <f>COUNTIF('Usulan HE'!$D$5:$D$300,A29)</f>
        <v>4</v>
      </c>
    </row>
    <row r="30" spans="1:3" x14ac:dyDescent="0.25">
      <c r="A30" s="18" t="s">
        <v>954</v>
      </c>
      <c r="B30" s="18" t="s">
        <v>1881</v>
      </c>
      <c r="C30" s="18">
        <f>COUNTIF('Usulan HE'!$D$5:$D$300,A30)</f>
        <v>4</v>
      </c>
    </row>
    <row r="31" spans="1:3" x14ac:dyDescent="0.25">
      <c r="A31" s="18" t="s">
        <v>981</v>
      </c>
      <c r="B31" s="18" t="s">
        <v>1881</v>
      </c>
      <c r="C31" s="18">
        <f>COUNTIF('Usulan HE'!$D$5:$D$300,A31)</f>
        <v>4</v>
      </c>
    </row>
    <row r="32" spans="1:3" x14ac:dyDescent="0.25">
      <c r="A32" s="18" t="s">
        <v>1011</v>
      </c>
      <c r="B32" s="18" t="s">
        <v>1881</v>
      </c>
      <c r="C32" s="18">
        <f>COUNTIF('Usulan HE'!$D$5:$D$300,A32)</f>
        <v>5</v>
      </c>
    </row>
    <row r="33" spans="1:3" x14ac:dyDescent="0.25">
      <c r="A33" s="18" t="s">
        <v>1097</v>
      </c>
      <c r="B33" s="18" t="s">
        <v>1882</v>
      </c>
      <c r="C33" s="18">
        <f>COUNTIF('Penyesuaian IDDS Tenant'!$C$5:$C$300,A33)</f>
        <v>8</v>
      </c>
    </row>
    <row r="34" spans="1:3" x14ac:dyDescent="0.25">
      <c r="A34" s="18" t="s">
        <v>1135</v>
      </c>
      <c r="B34" s="18" t="s">
        <v>1882</v>
      </c>
      <c r="C34" s="18">
        <f>COUNTIF('Penyesuaian IDDS Tenant'!$C$5:$C$300,A34)</f>
        <v>2</v>
      </c>
    </row>
    <row r="35" spans="1:3" x14ac:dyDescent="0.25">
      <c r="A35" s="18" t="s">
        <v>1147</v>
      </c>
      <c r="B35" s="18" t="s">
        <v>1882</v>
      </c>
      <c r="C35" s="18">
        <f>COUNTIF('Penyesuaian IDDS Tenant'!$C$5:$C$300,A35)</f>
        <v>3</v>
      </c>
    </row>
    <row r="36" spans="1:3" x14ac:dyDescent="0.25">
      <c r="A36" s="18" t="s">
        <v>1164</v>
      </c>
      <c r="B36" s="18" t="s">
        <v>1882</v>
      </c>
      <c r="C36" s="18">
        <f>COUNTIF('Penyesuaian IDDS Tenant'!$C$5:$C$300,A36)</f>
        <v>1</v>
      </c>
    </row>
    <row r="37" spans="1:3" x14ac:dyDescent="0.25">
      <c r="A37" s="18" t="s">
        <v>1171</v>
      </c>
      <c r="B37" s="18" t="s">
        <v>1882</v>
      </c>
      <c r="C37" s="18">
        <f>COUNTIF('Penyesuaian IDDS Tenant'!$C$5:$C$300,A37)</f>
        <v>1</v>
      </c>
    </row>
    <row r="38" spans="1:3" x14ac:dyDescent="0.25">
      <c r="A38" s="18" t="s">
        <v>1178</v>
      </c>
      <c r="B38" s="18" t="s">
        <v>1882</v>
      </c>
      <c r="C38" s="18">
        <f>COUNTIF('Penyesuaian IDDS Tenant'!$C$5:$C$300,A38)</f>
        <v>2</v>
      </c>
    </row>
    <row r="39" spans="1:3" x14ac:dyDescent="0.25">
      <c r="A39" s="18" t="s">
        <v>1190</v>
      </c>
      <c r="B39" s="18" t="s">
        <v>1882</v>
      </c>
      <c r="C39" s="18">
        <f>COUNTIF('Penyesuaian IDDS Tenant'!$C$5:$C$300,A39)</f>
        <v>1</v>
      </c>
    </row>
    <row r="40" spans="1:3" x14ac:dyDescent="0.25">
      <c r="A40" s="18" t="s">
        <v>1198</v>
      </c>
      <c r="B40" s="18" t="s">
        <v>1882</v>
      </c>
      <c r="C40" s="18">
        <f>COUNTIF('Penyesuaian IDDS Tenant'!$C$5:$C$300,A40)</f>
        <v>1</v>
      </c>
    </row>
    <row r="41" spans="1:3" x14ac:dyDescent="0.25">
      <c r="A41" s="18" t="s">
        <v>1205</v>
      </c>
      <c r="B41" s="18" t="s">
        <v>1882</v>
      </c>
      <c r="C41" s="18">
        <f>COUNTIF('Penyesuaian IDDS Tenant'!$C$5:$C$300,A41)</f>
        <v>2</v>
      </c>
    </row>
    <row r="42" spans="1:3" x14ac:dyDescent="0.25">
      <c r="A42" s="18" t="s">
        <v>1217</v>
      </c>
      <c r="B42" s="18" t="s">
        <v>1882</v>
      </c>
      <c r="C42" s="18">
        <f>COUNTIF('Penyesuaian IDDS Tenant'!$C$5:$C$300,A42)</f>
        <v>1</v>
      </c>
    </row>
    <row r="43" spans="1:3" x14ac:dyDescent="0.25">
      <c r="A43" s="18" t="s">
        <v>1224</v>
      </c>
      <c r="B43" s="18" t="s">
        <v>1882</v>
      </c>
      <c r="C43" s="18">
        <f>COUNTIF('Penyesuaian IDDS Tenant'!$C$5:$C$300,A43)</f>
        <v>1</v>
      </c>
    </row>
    <row r="44" spans="1:3" x14ac:dyDescent="0.25">
      <c r="A44" s="18" t="s">
        <v>1231</v>
      </c>
      <c r="B44" s="18" t="s">
        <v>1882</v>
      </c>
      <c r="C44" s="18">
        <f>COUNTIF('Penyesuaian IDDS Tenant'!$C$5:$C$300,A44)</f>
        <v>1</v>
      </c>
    </row>
    <row r="45" spans="1:3" x14ac:dyDescent="0.25">
      <c r="A45" s="18" t="s">
        <v>1239</v>
      </c>
      <c r="B45" s="18" t="s">
        <v>1882</v>
      </c>
      <c r="C45" s="18">
        <f>COUNTIF('Penyesuaian IDDS Tenant'!$C$5:$C$300,A45)</f>
        <v>3</v>
      </c>
    </row>
    <row r="46" spans="1:3" x14ac:dyDescent="0.25">
      <c r="A46" s="18" t="s">
        <v>1256</v>
      </c>
      <c r="B46" s="18" t="s">
        <v>1882</v>
      </c>
      <c r="C46" s="18">
        <f>COUNTIF('Penyesuaian IDDS Tenant'!$C$5:$C$300,A46)</f>
        <v>2</v>
      </c>
    </row>
    <row r="47" spans="1:3" x14ac:dyDescent="0.25">
      <c r="A47" s="18" t="s">
        <v>1267</v>
      </c>
      <c r="B47" s="18" t="s">
        <v>1882</v>
      </c>
      <c r="C47" s="18">
        <f>COUNTIF('Penyesuaian IDDS Tenant'!$C$5:$C$300,A47)</f>
        <v>2</v>
      </c>
    </row>
    <row r="48" spans="1:3" x14ac:dyDescent="0.25">
      <c r="A48" s="18" t="s">
        <v>1278</v>
      </c>
      <c r="B48" s="18" t="s">
        <v>1882</v>
      </c>
      <c r="C48" s="18">
        <f>COUNTIF('Penyesuaian IDDS Tenant'!$C$5:$C$300,A48)</f>
        <v>1</v>
      </c>
    </row>
    <row r="49" spans="1:3" x14ac:dyDescent="0.25">
      <c r="A49" s="18" t="s">
        <v>1285</v>
      </c>
      <c r="B49" s="18" t="s">
        <v>1882</v>
      </c>
      <c r="C49" s="18">
        <f>COUNTIF('Penyesuaian IDDS Tenant'!$C$5:$C$300,A49)</f>
        <v>1</v>
      </c>
    </row>
    <row r="50" spans="1:3" x14ac:dyDescent="0.25">
      <c r="A50" s="18" t="s">
        <v>1293</v>
      </c>
      <c r="B50" s="18" t="s">
        <v>1882</v>
      </c>
      <c r="C50" s="18">
        <f>COUNTIF('Penyesuaian IDDS Tenant'!$C$5:$C$300,A50)</f>
        <v>1</v>
      </c>
    </row>
    <row r="51" spans="1:3" x14ac:dyDescent="0.25">
      <c r="A51" s="18" t="s">
        <v>1300</v>
      </c>
      <c r="B51" s="18" t="s">
        <v>1882</v>
      </c>
      <c r="C51" s="18">
        <f>COUNTIF('Penyesuaian IDDS Tenant'!$C$5:$C$300,A51)</f>
        <v>1</v>
      </c>
    </row>
    <row r="52" spans="1:3" x14ac:dyDescent="0.25">
      <c r="A52" s="18" t="s">
        <v>1307</v>
      </c>
      <c r="B52" s="18" t="s">
        <v>1882</v>
      </c>
      <c r="C52" s="18">
        <f>COUNTIF('Penyesuaian IDDS Tenant'!$C$5:$C$300,A52)</f>
        <v>1</v>
      </c>
    </row>
    <row r="53" spans="1:3" x14ac:dyDescent="0.25">
      <c r="A53" s="18" t="s">
        <v>1315</v>
      </c>
      <c r="B53" s="18" t="s">
        <v>1882</v>
      </c>
      <c r="C53" s="18">
        <f>COUNTIF('Penyesuaian IDDS Tenant'!$C$5:$C$300,A53)</f>
        <v>2</v>
      </c>
    </row>
    <row r="54" spans="1:3" x14ac:dyDescent="0.25">
      <c r="A54" s="18" t="s">
        <v>1332</v>
      </c>
      <c r="B54" s="18" t="s">
        <v>1882</v>
      </c>
      <c r="C54" s="18">
        <f>COUNTIF('Penyesuaian IDDS Tenant'!$C$5:$C$300,A54)</f>
        <v>1</v>
      </c>
    </row>
    <row r="55" spans="1:3" x14ac:dyDescent="0.25">
      <c r="A55" s="18" t="s">
        <v>1340</v>
      </c>
      <c r="B55" s="18" t="s">
        <v>1882</v>
      </c>
      <c r="C55" s="18">
        <f>COUNTIF('Penyesuaian IDDS Tenant'!$C$5:$C$300,A55)</f>
        <v>1</v>
      </c>
    </row>
    <row r="56" spans="1:3" x14ac:dyDescent="0.25">
      <c r="A56" s="18" t="s">
        <v>1350</v>
      </c>
      <c r="B56" s="18" t="s">
        <v>1883</v>
      </c>
      <c r="C56" s="18">
        <f>COUNTIF('Penyesuaian IDDS Platform'!$C$5:$C$300,A56)</f>
        <v>10</v>
      </c>
    </row>
    <row r="57" spans="1:3" x14ac:dyDescent="0.25">
      <c r="A57" s="18" t="s">
        <v>1403</v>
      </c>
      <c r="B57" s="18" t="s">
        <v>1883</v>
      </c>
      <c r="C57" s="18">
        <f>COUNTIF('Penyesuaian IDDS Platform'!$C$5:$C$300,A57)</f>
        <v>10</v>
      </c>
    </row>
    <row r="58" spans="1:3" x14ac:dyDescent="0.25">
      <c r="A58" s="18" t="s">
        <v>1456</v>
      </c>
      <c r="B58" s="18" t="s">
        <v>1883</v>
      </c>
      <c r="C58" s="18">
        <f>COUNTIF('Penyesuaian IDDS Platform'!$C$5:$C$300,A58)</f>
        <v>10</v>
      </c>
    </row>
    <row r="59" spans="1:3" x14ac:dyDescent="0.25">
      <c r="A59" s="18" t="s">
        <v>1508</v>
      </c>
      <c r="B59" s="18" t="s">
        <v>1883</v>
      </c>
      <c r="C59" s="18">
        <f>COUNTIF('Penyesuaian IDDS Platform'!$C$5:$C$300,A59)</f>
        <v>10</v>
      </c>
    </row>
    <row r="60" spans="1:3" x14ac:dyDescent="0.25">
      <c r="A60" s="18" t="s">
        <v>1561</v>
      </c>
      <c r="B60" s="18" t="s">
        <v>1883</v>
      </c>
      <c r="C60" s="18">
        <f>COUNTIF('Penyesuaian IDDS Platform'!$C$5:$C$300,A60)</f>
        <v>1</v>
      </c>
    </row>
    <row r="61" spans="1:3" x14ac:dyDescent="0.25">
      <c r="A61" s="18" t="s">
        <v>1571</v>
      </c>
      <c r="B61" s="18" t="s">
        <v>1884</v>
      </c>
      <c r="C61" s="18">
        <f>COUNTIF('Penyesuaian IDDS Onboarding'!$C$5:$C$300,A61)</f>
        <v>10</v>
      </c>
    </row>
    <row r="62" spans="1:3" x14ac:dyDescent="0.25">
      <c r="A62" s="18" t="s">
        <v>1623</v>
      </c>
      <c r="B62" s="18" t="s">
        <v>1884</v>
      </c>
      <c r="C62" s="18">
        <f>COUNTIF('Penyesuaian IDDS Onboarding'!$C$5:$C$300,A62)</f>
        <v>10</v>
      </c>
    </row>
    <row r="63" spans="1:3" x14ac:dyDescent="0.25">
      <c r="A63" s="18" t="s">
        <v>1675</v>
      </c>
      <c r="B63" s="18" t="s">
        <v>1884</v>
      </c>
      <c r="C63" s="18">
        <f>COUNTIF('Penyesuaian IDDS Onboarding'!$C$5:$C$300,A63)</f>
        <v>10</v>
      </c>
    </row>
    <row r="64" spans="1:3" x14ac:dyDescent="0.25">
      <c r="A64" s="18" t="s">
        <v>1726</v>
      </c>
      <c r="B64" s="18" t="s">
        <v>1884</v>
      </c>
      <c r="C64" s="18">
        <f>COUNTIF('Penyesuaian IDDS Onboarding'!$C$5:$C$300,A64)</f>
        <v>15</v>
      </c>
    </row>
    <row r="65" spans="1:3" x14ac:dyDescent="0.25">
      <c r="A65" s="18" t="s">
        <v>1803</v>
      </c>
      <c r="B65" s="18" t="s">
        <v>1884</v>
      </c>
      <c r="C65" s="18">
        <f>COUNTIF('Penyesuaian IDDS Onboarding'!$C$5:$C$300,A65)</f>
        <v>15</v>
      </c>
    </row>
  </sheetData>
  <mergeCells count="2">
    <mergeCell ref="A1:F1"/>
    <mergeCell ref="A2:F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7"/>
  <sheetViews>
    <sheetView workbookViewId="0">
      <pane ySplit="4" topLeftCell="A5" activePane="bottomLeft" state="frozen"/>
      <selection pane="bottomLeft"/>
    </sheetView>
  </sheetViews>
  <sheetFormatPr defaultRowHeight="15" outlineLevelRow="0" outlineLevelCol="0" x14ac:dyDescent="55"/>
  <cols>
    <col min="1" max="1" width="44" customWidth="1"/>
    <col min="2" max="6" width="13" customWidth="1"/>
    <col min="7" max="7" width="20" customWidth="1"/>
    <col min="8" max="8" width="60" customWidth="1"/>
    <col min="9" max="9" width="46" customWidth="1"/>
  </cols>
  <sheetData>
    <row r="1" ht="22" customHeight="1" spans="1:9" x14ac:dyDescent="0.25">
      <c r="A1" s="1" t="s">
        <v>1894</v>
      </c>
      <c r="B1" s="1"/>
      <c r="C1" s="1"/>
      <c r="D1" s="1"/>
      <c r="E1" s="1"/>
      <c r="F1" s="1"/>
      <c r="G1" s="1"/>
      <c r="H1" s="1"/>
      <c r="I1" s="1"/>
    </row>
    <row r="2" spans="1:9" x14ac:dyDescent="0.25">
      <c r="A2" s="2" t="s">
        <v>1895</v>
      </c>
      <c r="B2" s="2"/>
      <c r="C2" s="2"/>
      <c r="D2" s="2"/>
      <c r="E2" s="2"/>
      <c r="F2" s="2"/>
      <c r="G2" s="2"/>
      <c r="H2" s="2"/>
      <c r="I2" s="2"/>
    </row>
    <row r="4" ht="30" customHeight="1" spans="1:9" x14ac:dyDescent="0.25">
      <c r="A4" s="4" t="s">
        <v>1896</v>
      </c>
      <c r="B4" s="4" t="s">
        <v>1897</v>
      </c>
      <c r="C4" s="4" t="s">
        <v>1898</v>
      </c>
      <c r="D4" s="4" t="s">
        <v>1899</v>
      </c>
      <c r="E4" s="4" t="s">
        <v>1900</v>
      </c>
      <c r="F4" s="4" t="s">
        <v>1901</v>
      </c>
      <c r="G4" s="4" t="s">
        <v>1902</v>
      </c>
      <c r="H4" s="4" t="s">
        <v>1903</v>
      </c>
      <c r="I4" s="4" t="s">
        <v>8</v>
      </c>
    </row>
    <row r="5" spans="1:9" x14ac:dyDescent="0.25">
      <c r="A5" s="10" t="s">
        <v>1904</v>
      </c>
      <c r="B5" s="21">
        <v>36.2</v>
      </c>
      <c r="C5" s="21">
        <v>75</v>
      </c>
      <c r="D5" s="21">
        <v>85</v>
      </c>
      <c r="E5" s="22">
        <f>C5-B5</f>
        <v>38.8</v>
      </c>
      <c r="F5" s="22">
        <f>D5-B5</f>
        <v>48.8</v>
      </c>
      <c r="G5" s="10" t="s">
        <v>1905</v>
      </c>
      <c r="H5" s="10" t="s">
        <v>1906</v>
      </c>
      <c r="I5" s="8" t="str">
        <f>HYPERLINK("https://he-eppat.vercel.app/Backlog-HE-EAW-Prototype.html","https://he-eppat.vercel.app/Backlog-HE-EAW-Prototype.html")</f>
        <v>https://he-eppat.vercel.app/Backlog-HE-EAW-Prototype.html</v>
      </c>
    </row>
    <row r="6" spans="1:9" x14ac:dyDescent="0.25">
      <c r="A6" s="10" t="s">
        <v>1907</v>
      </c>
      <c r="B6" s="21">
        <v>41.7</v>
      </c>
      <c r="C6" s="21">
        <v>78</v>
      </c>
      <c r="D6" s="21">
        <v>88</v>
      </c>
      <c r="E6" s="22">
        <f>C6-B6</f>
        <v>36.3</v>
      </c>
      <c r="F6" s="22">
        <f>D6-B6</f>
        <v>46.3</v>
      </c>
      <c r="G6" s="10" t="s">
        <v>1908</v>
      </c>
      <c r="H6" s="10" t="s">
        <v>1909</v>
      </c>
      <c r="I6" s="8" t="str">
        <f>HYPERLINK("https://he-eppat.vercel.app/Backlog-HE-TERA-Prototype.html","https://he-eppat.vercel.app/Backlog-HE-TERA-Prototype.html")</f>
        <v>https://he-eppat.vercel.app/Backlog-HE-TERA-Prototype.html</v>
      </c>
    </row>
    <row r="7" spans="1:9" x14ac:dyDescent="0.25">
      <c r="A7" s="10" t="s">
        <v>1910</v>
      </c>
      <c r="B7" s="21">
        <v>46.4</v>
      </c>
      <c r="C7" s="21">
        <v>78</v>
      </c>
      <c r="D7" s="21">
        <v>88</v>
      </c>
      <c r="E7" s="22">
        <f>C7-B7</f>
        <v>31.6</v>
      </c>
      <c r="F7" s="22">
        <f>D7-B7</f>
        <v>41.6</v>
      </c>
      <c r="G7" s="10" t="s">
        <v>1905</v>
      </c>
      <c r="H7" s="10" t="s">
        <v>1911</v>
      </c>
      <c r="I7" s="8" t="str">
        <f>HYPERLINK("https://he-eppat.vercel.app/Backlog-HE-EAWK-Prototype.html","https://he-eppat.vercel.app/Backlog-HE-EAWK-Prototype.html")</f>
        <v>https://he-eppat.vercel.app/Backlog-HE-EAWK-Prototype.html</v>
      </c>
    </row>
    <row r="8" spans="1:9" x14ac:dyDescent="0.25">
      <c r="A8" s="10" t="s">
        <v>1912</v>
      </c>
      <c r="B8" s="21">
        <v>47.1</v>
      </c>
      <c r="C8" s="21">
        <v>75</v>
      </c>
      <c r="D8" s="21">
        <v>85</v>
      </c>
      <c r="E8" s="22">
        <f>C8-B8</f>
        <v>27.9</v>
      </c>
      <c r="F8" s="22">
        <f>D8-B8</f>
        <v>37.9</v>
      </c>
      <c r="G8" s="10" t="s">
        <v>1905</v>
      </c>
      <c r="H8" s="10" t="s">
        <v>1913</v>
      </c>
      <c r="I8" s="8" t="str">
        <f>HYPERLINK("https://he-eppat.vercel.app/Backlog-HE-MINUTA-Prototype.html","https://he-eppat.vercel.app/Backlog-HE-MINUTA-Prototype.html")</f>
        <v>https://he-eppat.vercel.app/Backlog-HE-MINUTA-Prototype.html</v>
      </c>
    </row>
    <row r="9" spans="1:9" x14ac:dyDescent="0.25">
      <c r="A9" s="23" t="s">
        <v>1914</v>
      </c>
      <c r="B9" s="24">
        <v>47.1</v>
      </c>
      <c r="C9" s="24">
        <v>85</v>
      </c>
      <c r="D9" s="24">
        <v>90</v>
      </c>
      <c r="E9" s="25">
        <f>C9-B9</f>
        <v>37.9</v>
      </c>
      <c r="F9" s="25">
        <f>D9-B9</f>
        <v>42.9</v>
      </c>
      <c r="G9" s="26" t="s">
        <v>1915</v>
      </c>
      <c r="H9" s="26" t="s">
        <v>1916</v>
      </c>
      <c r="I9" s="27" t="str">
        <f>HYPERLINK("https://he-eppat.vercel.app/Backlog-HE-MINUTA-V2-Prototype.html","https://he-eppat.vercel.app/Backlog-HE-MINUTA-V2-Prototype.html")</f>
        <v>https://he-eppat.vercel.app/Backlog-HE-MINUTA-V2-Prototype.html</v>
      </c>
    </row>
    <row r="10" spans="1:9" x14ac:dyDescent="0.25">
      <c r="A10" s="10" t="s">
        <v>1917</v>
      </c>
      <c r="B10" s="21">
        <v>48.6</v>
      </c>
      <c r="C10" s="21">
        <v>78</v>
      </c>
      <c r="D10" s="21">
        <v>88</v>
      </c>
      <c r="E10" s="22">
        <f>C10-B10</f>
        <v>29.4</v>
      </c>
      <c r="F10" s="22">
        <f>D10-B10</f>
        <v>39.4</v>
      </c>
      <c r="G10" s="10" t="s">
        <v>1905</v>
      </c>
      <c r="H10" s="10" t="s">
        <v>1918</v>
      </c>
      <c r="I10" s="8" t="str">
        <f>HYPERLINK("https://he-eppat.vercel.app/Backlog-HE-ORDER-Prototype.html","https://he-eppat.vercel.app/Backlog-HE-ORDER-Prototype.html")</f>
        <v>https://he-eppat.vercel.app/Backlog-HE-ORDER-Prototype.html</v>
      </c>
    </row>
    <row r="11" spans="1:9" x14ac:dyDescent="0.25">
      <c r="A11" s="10" t="s">
        <v>1919</v>
      </c>
      <c r="B11" s="21">
        <v>54.5</v>
      </c>
      <c r="C11" s="21">
        <v>80</v>
      </c>
      <c r="D11" s="21">
        <v>90</v>
      </c>
      <c r="E11" s="22">
        <f>C11-B11</f>
        <v>25.5</v>
      </c>
      <c r="F11" s="22">
        <f>D11-B11</f>
        <v>35.5</v>
      </c>
      <c r="G11" s="10" t="s">
        <v>1920</v>
      </c>
      <c r="H11" s="10" t="s">
        <v>1921</v>
      </c>
      <c r="I11" s="8" t="str">
        <f>HYPERLINK("https://he-eppat.vercel.app/Backlog-HE-VERIF-Prototype.html","https://he-eppat.vercel.app/Backlog-HE-VERIF-Prototype.html")</f>
        <v>https://he-eppat.vercel.app/Backlog-HE-VERIF-Prototype.html</v>
      </c>
    </row>
    <row r="12" spans="1:9" x14ac:dyDescent="0.25">
      <c r="A12" s="10" t="s">
        <v>1922</v>
      </c>
      <c r="B12" s="21">
        <v>54.8</v>
      </c>
      <c r="C12" s="21">
        <v>78</v>
      </c>
      <c r="D12" s="21">
        <v>88</v>
      </c>
      <c r="E12" s="22">
        <f>C12-B12</f>
        <v>23.200000000000003</v>
      </c>
      <c r="F12" s="22">
        <f>D12-B12</f>
        <v>33.2</v>
      </c>
      <c r="G12" s="10" t="s">
        <v>1908</v>
      </c>
      <c r="H12" s="10" t="s">
        <v>1923</v>
      </c>
      <c r="I12" s="8" t="str">
        <f>HYPERLINK("https://he-eppat.vercel.app/Backlog-HE-CA-Prototype.html","https://he-eppat.vercel.app/Backlog-HE-CA-Prototype.html")</f>
        <v>https://he-eppat.vercel.app/Backlog-HE-CA-Prototype.html</v>
      </c>
    </row>
    <row r="13" spans="1:9" x14ac:dyDescent="0.25">
      <c r="A13" s="10" t="s">
        <v>1924</v>
      </c>
      <c r="B13" s="21">
        <v>68.6</v>
      </c>
      <c r="C13" s="21">
        <v>85</v>
      </c>
      <c r="D13" s="21">
        <v>92</v>
      </c>
      <c r="E13" s="22">
        <f>C13-B13</f>
        <v>16.400000000000006</v>
      </c>
      <c r="F13" s="22">
        <f>D13-B13</f>
        <v>23.400000000000006</v>
      </c>
      <c r="G13" s="10" t="s">
        <v>1920</v>
      </c>
      <c r="H13" s="10" t="s">
        <v>1925</v>
      </c>
      <c r="I13" s="8" t="str">
        <f>HYPERLINK("https://he-eppat.vercel.app/Backlog-HE-ONBOARDING-Prototype.html","https://he-eppat.vercel.app/Backlog-HE-ONBOARDING-Prototype.html")</f>
        <v>https://he-eppat.vercel.app/Backlog-HE-ONBOARDING-Prototype.html</v>
      </c>
    </row>
    <row r="14" spans="1:9" x14ac:dyDescent="0.25">
      <c r="A14" s="10" t="s">
        <v>1011</v>
      </c>
      <c r="B14" s="21">
        <v>71.5</v>
      </c>
      <c r="C14" s="21">
        <v>85</v>
      </c>
      <c r="D14" s="21">
        <v>92</v>
      </c>
      <c r="E14" s="22">
        <f>C14-B14</f>
        <v>13.5</v>
      </c>
      <c r="F14" s="22">
        <f>D14-B14</f>
        <v>20.5</v>
      </c>
      <c r="G14" s="10" t="s">
        <v>1905</v>
      </c>
      <c r="H14" s="10" t="s">
        <v>1926</v>
      </c>
      <c r="I14" s="8" t="str">
        <f>HYPERLINK("https://he-eppat.vercel.app/Backlog-HE-ONBOARDING-Prototype.html","https://he-eppat.vercel.app/Backlog-HE-ONBOARDING-Prototype.html")</f>
        <v>https://he-eppat.vercel.app/Backlog-HE-ONBOARDING-Prototype.html</v>
      </c>
    </row>
    <row r="15" spans="1:9" x14ac:dyDescent="0.25">
      <c r="A15" s="10" t="s">
        <v>1927</v>
      </c>
      <c r="B15" s="21">
        <v>79.5</v>
      </c>
      <c r="C15" s="21">
        <v>88</v>
      </c>
      <c r="D15" s="21">
        <v>95</v>
      </c>
      <c r="E15" s="22">
        <f>C15-B15</f>
        <v>8.5</v>
      </c>
      <c r="F15" s="22">
        <f>D15-B15</f>
        <v>15.5</v>
      </c>
      <c r="G15" s="10" t="s">
        <v>1920</v>
      </c>
      <c r="H15" s="10" t="s">
        <v>1925</v>
      </c>
      <c r="I15" s="8" t="str">
        <f>HYPERLINK("https://he-eppat.vercel.app/Backlog-HE-USER-Prototype.html","https://he-eppat.vercel.app/Backlog-HE-USER-Prototype.html")</f>
        <v>https://he-eppat.vercel.app/Backlog-HE-USER-Prototype.html</v>
      </c>
    </row>
    <row r="16" spans="1:9" x14ac:dyDescent="0.25">
      <c r="A16" s="10" t="s">
        <v>954</v>
      </c>
      <c r="B16" s="21">
        <v>91.7</v>
      </c>
      <c r="C16" s="21">
        <v>93</v>
      </c>
      <c r="D16" s="21">
        <v>97</v>
      </c>
      <c r="E16" s="22">
        <f>C16-B16</f>
        <v>1.2999999999999972</v>
      </c>
      <c r="F16" s="22">
        <f>D16-B16</f>
        <v>5.299999999999997</v>
      </c>
      <c r="G16" s="10" t="s">
        <v>1920</v>
      </c>
      <c r="H16" s="10" t="s">
        <v>1925</v>
      </c>
      <c r="I16" s="8" t="str">
        <f>HYPERLINK("https://he-eppat.vercel.app/Backlog-HE-ONBOARDING-Prototype.html","https://he-eppat.vercel.app/Backlog-HE-ONBOARDING-Prototype.html")</f>
        <v>https://he-eppat.vercel.app/Backlog-HE-ONBOARDING-Prototype.html</v>
      </c>
    </row>
    <row r="17" spans="1:9" x14ac:dyDescent="0.25">
      <c r="A17" s="28" t="s">
        <v>1928</v>
      </c>
      <c r="B17" s="29">
        <f>AVERAGE(B5,B6,B7,B10,B11,B12,B13,B14,B15,B16,B8)</f>
        <v>58.2</v>
      </c>
      <c r="C17" s="29">
        <f>AVERAGE(C5,C6,C7,C10,C11,C12,C13,C14,C15,C16,C8)</f>
        <v>81.2</v>
      </c>
      <c r="D17" s="29">
        <f>AVERAGE(D5,D6,D7,D10,D11,D12,D13,D14,D15,D16,D8)</f>
        <v>89.8</v>
      </c>
      <c r="E17" s="30">
        <f>C17-B17</f>
        <v>23</v>
      </c>
      <c r="F17" s="30">
        <f>D17-B17</f>
        <v>31.6</v>
      </c>
      <c r="G17" s="28" t="s">
        <v>27</v>
      </c>
      <c r="H17" s="28" t="s">
        <v>1929</v>
      </c>
      <c r="I17" s="28" t="s">
        <v>27</v>
      </c>
    </row>
    <row r="18" spans="1:9" x14ac:dyDescent="0.25">
      <c r="A18" s="28" t="s">
        <v>1930</v>
      </c>
      <c r="B18" s="29">
        <f>AVERAGE(B5,B6,B7,B10,B11,B12,B13,B14,B15,B16,B9)</f>
        <v>58.2</v>
      </c>
      <c r="C18" s="29">
        <f>AVERAGE(C5,C6,C7,C10,C11,C12,C13,C14,C15,C16,C9)</f>
        <v>82.1</v>
      </c>
      <c r="D18" s="29">
        <f>AVERAGE(D5,D6,D7,D10,D11,D12,D13,D14,D15,D16,D9)</f>
        <v>90.3</v>
      </c>
      <c r="E18" s="30">
        <f>C18-B18</f>
        <v>23.9</v>
      </c>
      <c r="F18" s="30">
        <f>D18-B18</f>
        <v>32.1</v>
      </c>
      <c r="G18" s="28" t="s">
        <v>27</v>
      </c>
      <c r="H18" s="28" t="s">
        <v>1931</v>
      </c>
      <c r="I18" s="28" t="s">
        <v>27</v>
      </c>
    </row>
    <row r="20" ht="30" customHeight="1" spans="1:9" x14ac:dyDescent="0.25">
      <c r="A20" s="4" t="s">
        <v>523</v>
      </c>
      <c r="B20" s="4" t="s">
        <v>1897</v>
      </c>
      <c r="C20" s="4" t="s">
        <v>1898</v>
      </c>
      <c r="D20" s="4" t="s">
        <v>1899</v>
      </c>
      <c r="E20" s="4" t="s">
        <v>1900</v>
      </c>
      <c r="F20" s="4" t="s">
        <v>1901</v>
      </c>
      <c r="G20" s="4" t="s">
        <v>27</v>
      </c>
      <c r="H20" s="4" t="s">
        <v>1932</v>
      </c>
      <c r="I20" s="4" t="s">
        <v>27</v>
      </c>
    </row>
    <row r="21" spans="1:9" x14ac:dyDescent="0.25">
      <c r="A21" s="6" t="s">
        <v>1933</v>
      </c>
      <c r="B21" s="31">
        <v>85.9</v>
      </c>
      <c r="C21" s="31">
        <v>90</v>
      </c>
      <c r="D21" s="31">
        <v>97</v>
      </c>
      <c r="E21" s="32">
        <f>C21-B21</f>
        <v>4.099999999999994</v>
      </c>
      <c r="F21" s="32">
        <f>D21-B21</f>
        <v>11.099999999999994</v>
      </c>
      <c r="G21" s="6" t="s">
        <v>27</v>
      </c>
      <c r="H21" s="6" t="s">
        <v>1934</v>
      </c>
      <c r="I21" s="6" t="s">
        <v>27</v>
      </c>
    </row>
    <row r="22" spans="1:9" x14ac:dyDescent="0.25">
      <c r="A22" s="6" t="s">
        <v>1935</v>
      </c>
      <c r="B22" s="31">
        <v>49.1</v>
      </c>
      <c r="C22" s="31">
        <v>80</v>
      </c>
      <c r="D22" s="31">
        <v>94</v>
      </c>
      <c r="E22" s="32">
        <f>C22-B22</f>
        <v>30.9</v>
      </c>
      <c r="F22" s="32">
        <f>D22-B22</f>
        <v>44.9</v>
      </c>
      <c r="G22" s="6" t="s">
        <v>27</v>
      </c>
      <c r="H22" s="6" t="s">
        <v>1936</v>
      </c>
      <c r="I22" s="6" t="s">
        <v>27</v>
      </c>
    </row>
    <row r="23" spans="1:9" x14ac:dyDescent="0.25">
      <c r="A23" s="6" t="s">
        <v>1937</v>
      </c>
      <c r="B23" s="31">
        <v>65.9</v>
      </c>
      <c r="C23" s="31">
        <v>82</v>
      </c>
      <c r="D23" s="31">
        <v>92</v>
      </c>
      <c r="E23" s="32">
        <f>C23-B23</f>
        <v>16.099999999999994</v>
      </c>
      <c r="F23" s="32">
        <f>D23-B23</f>
        <v>26.099999999999994</v>
      </c>
      <c r="G23" s="6" t="s">
        <v>27</v>
      </c>
      <c r="H23" s="6" t="s">
        <v>1938</v>
      </c>
      <c r="I23" s="6" t="s">
        <v>27</v>
      </c>
    </row>
    <row r="24" spans="1:9" x14ac:dyDescent="0.25">
      <c r="A24" s="6" t="s">
        <v>1939</v>
      </c>
      <c r="B24" s="31">
        <v>48.8</v>
      </c>
      <c r="C24" s="31">
        <v>80</v>
      </c>
      <c r="D24" s="31">
        <v>92</v>
      </c>
      <c r="E24" s="32">
        <f>C24-B24</f>
        <v>31.200000000000003</v>
      </c>
      <c r="F24" s="32">
        <f>D24-B24</f>
        <v>43.2</v>
      </c>
      <c r="G24" s="6" t="s">
        <v>27</v>
      </c>
      <c r="H24" s="6" t="s">
        <v>1940</v>
      </c>
      <c r="I24" s="6" t="s">
        <v>27</v>
      </c>
    </row>
    <row r="25" spans="1:9" x14ac:dyDescent="0.25">
      <c r="A25" s="6" t="s">
        <v>1941</v>
      </c>
      <c r="B25" s="31">
        <v>62.7</v>
      </c>
      <c r="C25" s="31">
        <v>82</v>
      </c>
      <c r="D25" s="31">
        <v>91</v>
      </c>
      <c r="E25" s="32">
        <f>C25-B25</f>
        <v>19.299999999999997</v>
      </c>
      <c r="F25" s="32">
        <f>D25-B25</f>
        <v>28.299999999999997</v>
      </c>
      <c r="G25" s="6" t="s">
        <v>27</v>
      </c>
      <c r="H25" s="6" t="s">
        <v>1942</v>
      </c>
      <c r="I25" s="6" t="s">
        <v>27</v>
      </c>
    </row>
    <row r="26" spans="1:9" x14ac:dyDescent="0.25">
      <c r="A26" s="6" t="s">
        <v>1943</v>
      </c>
      <c r="B26" s="31">
        <v>40.9</v>
      </c>
      <c r="C26" s="31">
        <v>75</v>
      </c>
      <c r="D26" s="31">
        <v>90</v>
      </c>
      <c r="E26" s="32">
        <f>C26-B26</f>
        <v>34.1</v>
      </c>
      <c r="F26" s="32">
        <f>D26-B26</f>
        <v>49.1</v>
      </c>
      <c r="G26" s="6" t="s">
        <v>27</v>
      </c>
      <c r="H26" s="6" t="s">
        <v>1944</v>
      </c>
      <c r="I26" s="6" t="s">
        <v>27</v>
      </c>
    </row>
    <row r="27" spans="1:9" x14ac:dyDescent="0.25">
      <c r="A27" s="6" t="s">
        <v>1945</v>
      </c>
      <c r="B27" s="31">
        <v>68.9</v>
      </c>
      <c r="C27" s="31">
        <v>82</v>
      </c>
      <c r="D27" s="31">
        <v>93</v>
      </c>
      <c r="E27" s="32">
        <f>C27-B27</f>
        <v>13.099999999999994</v>
      </c>
      <c r="F27" s="32">
        <f>D27-B27</f>
        <v>24.099999999999994</v>
      </c>
      <c r="G27" s="6" t="s">
        <v>27</v>
      </c>
      <c r="H27" s="6" t="s">
        <v>1946</v>
      </c>
      <c r="I27" s="6" t="s">
        <v>27</v>
      </c>
    </row>
    <row r="28" spans="1:9" x14ac:dyDescent="0.25">
      <c r="A28" s="6" t="s">
        <v>1947</v>
      </c>
      <c r="B28" s="31">
        <v>56.4</v>
      </c>
      <c r="C28" s="31">
        <v>70</v>
      </c>
      <c r="D28" s="31">
        <v>79</v>
      </c>
      <c r="E28" s="32">
        <f>C28-B28</f>
        <v>13.600000000000001</v>
      </c>
      <c r="F28" s="32">
        <f>D28-B28</f>
        <v>22.6</v>
      </c>
      <c r="G28" s="6" t="s">
        <v>27</v>
      </c>
      <c r="H28" s="6" t="s">
        <v>1948</v>
      </c>
      <c r="I28" s="6" t="s">
        <v>27</v>
      </c>
    </row>
    <row r="29" spans="1:9" x14ac:dyDescent="0.25">
      <c r="A29" s="6" t="s">
        <v>1949</v>
      </c>
      <c r="B29" s="31">
        <v>60.6</v>
      </c>
      <c r="C29" s="31">
        <v>80</v>
      </c>
      <c r="D29" s="31">
        <v>92</v>
      </c>
      <c r="E29" s="32">
        <f>C29-B29</f>
        <v>19.4</v>
      </c>
      <c r="F29" s="32">
        <f>D29-B29</f>
        <v>31.4</v>
      </c>
      <c r="G29" s="6" t="s">
        <v>27</v>
      </c>
      <c r="H29" s="6" t="s">
        <v>1950</v>
      </c>
      <c r="I29" s="6" t="s">
        <v>27</v>
      </c>
    </row>
    <row r="30" spans="1:9" x14ac:dyDescent="0.25">
      <c r="A30" s="6" t="s">
        <v>1951</v>
      </c>
      <c r="B30" s="31">
        <v>10.6</v>
      </c>
      <c r="C30" s="31">
        <v>70</v>
      </c>
      <c r="D30" s="31">
        <v>85</v>
      </c>
      <c r="E30" s="32">
        <f>C30-B30</f>
        <v>59.4</v>
      </c>
      <c r="F30" s="32">
        <f>D30-B30</f>
        <v>74.4</v>
      </c>
      <c r="G30" s="6" t="s">
        <v>27</v>
      </c>
      <c r="H30" s="6" t="s">
        <v>1952</v>
      </c>
      <c r="I30" s="6" t="s">
        <v>27</v>
      </c>
    </row>
    <row r="31" spans="1:9" x14ac:dyDescent="0.25">
      <c r="A31" s="6" t="s">
        <v>1953</v>
      </c>
      <c r="B31" s="31">
        <v>90.9</v>
      </c>
      <c r="C31" s="31">
        <v>91</v>
      </c>
      <c r="D31" s="31">
        <v>95</v>
      </c>
      <c r="E31" s="32">
        <f>C31-B31</f>
        <v>0.09999999999999432</v>
      </c>
      <c r="F31" s="32">
        <f>D31-B31</f>
        <v>4.099999999999994</v>
      </c>
      <c r="G31" s="6" t="s">
        <v>27</v>
      </c>
      <c r="H31" s="6" t="s">
        <v>1954</v>
      </c>
      <c r="I31" s="6" t="s">
        <v>27</v>
      </c>
    </row>
    <row r="33" spans="1:1" x14ac:dyDescent="0.25">
      <c r="A33" s="33" t="s">
        <v>1955</v>
      </c>
    </row>
    <row r="34" ht="28" customHeight="1" spans="1:9" x14ac:dyDescent="0.25">
      <c r="A34" s="34" t="s">
        <v>1956</v>
      </c>
      <c r="B34" s="34"/>
      <c r="C34" s="34"/>
      <c r="D34" s="34"/>
      <c r="E34" s="34"/>
      <c r="F34" s="34"/>
      <c r="G34" s="34"/>
      <c r="H34" s="34"/>
      <c r="I34" s="34"/>
    </row>
    <row r="35" ht="28" customHeight="1" spans="1:9" x14ac:dyDescent="0.25">
      <c r="A35" s="34" t="s">
        <v>1957</v>
      </c>
      <c r="B35" s="34"/>
      <c r="C35" s="34"/>
      <c r="D35" s="34"/>
      <c r="E35" s="34"/>
      <c r="F35" s="34"/>
      <c r="G35" s="34"/>
      <c r="H35" s="34"/>
      <c r="I35" s="34"/>
    </row>
    <row r="36" ht="28" customHeight="1" spans="1:9" x14ac:dyDescent="0.25">
      <c r="A36" s="34" t="s">
        <v>1958</v>
      </c>
      <c r="B36" s="34"/>
      <c r="C36" s="34"/>
      <c r="D36" s="34"/>
      <c r="E36" s="34"/>
      <c r="F36" s="34"/>
      <c r="G36" s="34"/>
      <c r="H36" s="34"/>
      <c r="I36" s="34"/>
    </row>
    <row r="37" ht="28" customHeight="1" spans="1:9" x14ac:dyDescent="0.25">
      <c r="A37" s="34" t="s">
        <v>1959</v>
      </c>
      <c r="B37" s="34"/>
      <c r="C37" s="34"/>
      <c r="D37" s="34"/>
      <c r="E37" s="34"/>
      <c r="F37" s="34"/>
      <c r="G37" s="34"/>
      <c r="H37" s="34"/>
      <c r="I37" s="34"/>
    </row>
  </sheetData>
  <mergeCells count="6">
    <mergeCell ref="A1:I1"/>
    <mergeCell ref="A2:I2"/>
    <mergeCell ref="A34:I34"/>
    <mergeCell ref="A35:I35"/>
    <mergeCell ref="A36:I36"/>
    <mergeCell ref="A37:I37"/>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1"/>
  <sheetViews>
    <sheetView workbookViewId="0">
      <pane ySplit="4" topLeftCell="A5" activePane="bottomLeft" state="frozen"/>
      <selection pane="bottomLeft"/>
    </sheetView>
  </sheetViews>
  <sheetFormatPr defaultRowHeight="15" outlineLevelRow="0" outlineLevelCol="0" x14ac:dyDescent="55"/>
  <cols>
    <col min="1" max="1" width="14" customWidth="1"/>
    <col min="2" max="2" width="26" customWidth="1"/>
    <col min="3" max="3" width="80" customWidth="1"/>
    <col min="4" max="4" width="52" customWidth="1"/>
  </cols>
  <sheetData>
    <row r="1" ht="22" customHeight="1" spans="1:4" x14ac:dyDescent="0.25">
      <c r="A1" s="1" t="s">
        <v>1960</v>
      </c>
      <c r="B1" s="1"/>
      <c r="C1" s="1"/>
      <c r="D1" s="1"/>
    </row>
    <row r="2" spans="1:4" x14ac:dyDescent="0.25">
      <c r="A2" s="2" t="s">
        <v>1961</v>
      </c>
      <c r="B2" s="2"/>
      <c r="C2" s="2"/>
      <c r="D2" s="2"/>
    </row>
    <row r="4" ht="30" customHeight="1" spans="1:4" x14ac:dyDescent="0.25">
      <c r="A4" s="4" t="s">
        <v>1962</v>
      </c>
      <c r="B4" s="4" t="s">
        <v>517</v>
      </c>
      <c r="C4" s="4" t="s">
        <v>1963</v>
      </c>
      <c r="D4" s="4" t="s">
        <v>1964</v>
      </c>
    </row>
    <row r="5" spans="1:4" x14ac:dyDescent="0.25">
      <c r="A5" s="35">
        <v>46318</v>
      </c>
      <c r="B5" s="6" t="s">
        <v>1965</v>
      </c>
      <c r="C5" s="6" t="s">
        <v>1966</v>
      </c>
      <c r="D5" s="6" t="s">
        <v>1967</v>
      </c>
    </row>
    <row r="6" spans="1:4" x14ac:dyDescent="0.25">
      <c r="A6" s="35">
        <v>46318</v>
      </c>
      <c r="B6" s="6" t="s">
        <v>1965</v>
      </c>
      <c r="C6" s="6" t="s">
        <v>1968</v>
      </c>
      <c r="D6" s="6" t="s">
        <v>1967</v>
      </c>
    </row>
    <row r="7" spans="1:4" x14ac:dyDescent="0.25">
      <c r="A7" s="35">
        <v>46318</v>
      </c>
      <c r="B7" s="6" t="s">
        <v>22</v>
      </c>
      <c r="C7" s="6" t="s">
        <v>1969</v>
      </c>
      <c r="D7" s="6" t="s">
        <v>1970</v>
      </c>
    </row>
    <row r="8" spans="1:4" x14ac:dyDescent="0.25">
      <c r="A8" s="35">
        <v>46318</v>
      </c>
      <c r="B8" s="6" t="s">
        <v>22</v>
      </c>
      <c r="C8" s="6" t="s">
        <v>1971</v>
      </c>
      <c r="D8" s="6" t="s">
        <v>1972</v>
      </c>
    </row>
    <row r="9" spans="1:4" x14ac:dyDescent="0.25">
      <c r="A9" s="35">
        <v>46318</v>
      </c>
      <c r="B9" s="6" t="s">
        <v>531</v>
      </c>
      <c r="C9" s="6" t="s">
        <v>1973</v>
      </c>
      <c r="D9" s="6" t="s">
        <v>1974</v>
      </c>
    </row>
    <row r="10" spans="1:4" x14ac:dyDescent="0.25">
      <c r="A10" s="35">
        <v>46318</v>
      </c>
      <c r="B10" s="6" t="s">
        <v>1975</v>
      </c>
      <c r="C10" s="6" t="s">
        <v>1976</v>
      </c>
      <c r="D10" s="6" t="s">
        <v>1972</v>
      </c>
    </row>
    <row r="11" spans="1:4" x14ac:dyDescent="0.25">
      <c r="A11" s="35">
        <v>46318</v>
      </c>
      <c r="B11" s="6" t="s">
        <v>1977</v>
      </c>
      <c r="C11" s="6" t="s">
        <v>1978</v>
      </c>
      <c r="D11" s="6" t="s">
        <v>1972</v>
      </c>
    </row>
    <row r="12" spans="1:4" x14ac:dyDescent="0.25">
      <c r="A12" s="35">
        <v>46318</v>
      </c>
      <c r="B12" s="6" t="s">
        <v>598</v>
      </c>
      <c r="C12" s="6" t="s">
        <v>1979</v>
      </c>
      <c r="D12" s="6" t="s">
        <v>1972</v>
      </c>
    </row>
    <row r="13" spans="1:4" x14ac:dyDescent="0.25">
      <c r="A13" s="35">
        <v>46318</v>
      </c>
      <c r="B13" s="6" t="s">
        <v>1980</v>
      </c>
      <c r="C13" s="6" t="s">
        <v>1981</v>
      </c>
      <c r="D13" s="6" t="s">
        <v>1982</v>
      </c>
    </row>
    <row r="14" spans="1:4" x14ac:dyDescent="0.25">
      <c r="A14" s="35">
        <v>46318</v>
      </c>
      <c r="B14" s="6" t="s">
        <v>1983</v>
      </c>
      <c r="C14" s="6" t="s">
        <v>1984</v>
      </c>
      <c r="D14" s="6" t="s">
        <v>1982</v>
      </c>
    </row>
    <row r="15" spans="1:4" x14ac:dyDescent="0.25">
      <c r="A15" s="35">
        <v>46318</v>
      </c>
      <c r="B15" s="6" t="s">
        <v>22</v>
      </c>
      <c r="C15" s="6" t="s">
        <v>1985</v>
      </c>
      <c r="D15" s="6" t="s">
        <v>1986</v>
      </c>
    </row>
    <row r="16" spans="1:4" x14ac:dyDescent="0.25">
      <c r="A16" s="35">
        <v>46318</v>
      </c>
      <c r="B16" s="6" t="s">
        <v>22</v>
      </c>
      <c r="C16" s="6" t="s">
        <v>1987</v>
      </c>
      <c r="D16" s="6" t="s">
        <v>1988</v>
      </c>
    </row>
    <row r="17" spans="1:4" x14ac:dyDescent="0.25">
      <c r="A17" s="35">
        <v>46318</v>
      </c>
      <c r="B17" s="6" t="s">
        <v>91</v>
      </c>
      <c r="C17" s="6" t="s">
        <v>1989</v>
      </c>
      <c r="D17" s="6" t="s">
        <v>1986</v>
      </c>
    </row>
    <row r="18" spans="1:4" x14ac:dyDescent="0.25">
      <c r="A18" s="35">
        <v>46318</v>
      </c>
      <c r="B18" s="6" t="s">
        <v>91</v>
      </c>
      <c r="C18" s="6" t="s">
        <v>1990</v>
      </c>
      <c r="D18" s="6" t="s">
        <v>1986</v>
      </c>
    </row>
    <row r="19" spans="1:4" x14ac:dyDescent="0.25">
      <c r="A19" s="35">
        <v>46318</v>
      </c>
      <c r="B19" s="6" t="s">
        <v>22</v>
      </c>
      <c r="C19" s="6" t="s">
        <v>1991</v>
      </c>
      <c r="D19" s="6" t="s">
        <v>1992</v>
      </c>
    </row>
    <row r="20" spans="1:4" x14ac:dyDescent="0.25">
      <c r="A20" s="35">
        <v>46318</v>
      </c>
      <c r="B20" s="6" t="s">
        <v>1993</v>
      </c>
      <c r="C20" s="6" t="s">
        <v>1994</v>
      </c>
      <c r="D20" s="6" t="s">
        <v>1995</v>
      </c>
    </row>
    <row r="21" spans="1:4" x14ac:dyDescent="0.25">
      <c r="A21" s="35">
        <v>46318</v>
      </c>
      <c r="B21" s="6" t="s">
        <v>22</v>
      </c>
      <c r="C21" s="6" t="s">
        <v>1996</v>
      </c>
      <c r="D21" s="6" t="s">
        <v>1997</v>
      </c>
    </row>
    <row r="22" spans="1:4" x14ac:dyDescent="0.25">
      <c r="A22" s="35">
        <v>46318</v>
      </c>
      <c r="B22" s="6" t="s">
        <v>1998</v>
      </c>
      <c r="C22" s="6" t="s">
        <v>1999</v>
      </c>
      <c r="D22" s="6" t="s">
        <v>2000</v>
      </c>
    </row>
    <row r="23" spans="1:4" x14ac:dyDescent="0.25">
      <c r="A23" s="35">
        <v>46318</v>
      </c>
      <c r="B23" s="6" t="s">
        <v>2001</v>
      </c>
      <c r="C23" s="6" t="s">
        <v>2002</v>
      </c>
      <c r="D23" s="6" t="s">
        <v>2003</v>
      </c>
    </row>
    <row r="24" spans="1:4" x14ac:dyDescent="0.25">
      <c r="A24" s="35">
        <v>46321</v>
      </c>
      <c r="B24" s="6" t="s">
        <v>1998</v>
      </c>
      <c r="C24" s="6" t="s">
        <v>2004</v>
      </c>
      <c r="D24" s="6" t="s">
        <v>2005</v>
      </c>
    </row>
    <row r="25" spans="1:4" x14ac:dyDescent="0.25">
      <c r="A25" s="35">
        <v>46321</v>
      </c>
      <c r="B25" s="6" t="s">
        <v>2006</v>
      </c>
      <c r="C25" s="6" t="s">
        <v>2007</v>
      </c>
      <c r="D25" s="6" t="s">
        <v>2008</v>
      </c>
    </row>
    <row r="26" spans="1:4" x14ac:dyDescent="0.25">
      <c r="A26" s="35">
        <v>46321</v>
      </c>
      <c r="B26" s="6" t="s">
        <v>22</v>
      </c>
      <c r="C26" s="6" t="s">
        <v>2009</v>
      </c>
      <c r="D26" s="6" t="s">
        <v>2010</v>
      </c>
    </row>
    <row r="27" spans="1:4" x14ac:dyDescent="0.25">
      <c r="A27" s="35">
        <v>46321</v>
      </c>
      <c r="B27" s="6" t="s">
        <v>2011</v>
      </c>
      <c r="C27" s="6" t="s">
        <v>2012</v>
      </c>
      <c r="D27" s="6" t="s">
        <v>2013</v>
      </c>
    </row>
    <row r="28" spans="1:4" x14ac:dyDescent="0.25">
      <c r="A28" s="35">
        <v>46321</v>
      </c>
      <c r="B28" s="6" t="s">
        <v>777</v>
      </c>
      <c r="C28" s="6" t="s">
        <v>2014</v>
      </c>
      <c r="D28" s="6" t="s">
        <v>2013</v>
      </c>
    </row>
    <row r="29" spans="1:4" x14ac:dyDescent="0.25">
      <c r="A29" s="35">
        <v>46321</v>
      </c>
      <c r="B29" s="6" t="s">
        <v>811</v>
      </c>
      <c r="C29" s="6" t="s">
        <v>2015</v>
      </c>
      <c r="D29" s="6" t="s">
        <v>2016</v>
      </c>
    </row>
    <row r="30" spans="1:4" x14ac:dyDescent="0.25">
      <c r="A30" s="35">
        <v>46321</v>
      </c>
      <c r="B30" s="6" t="s">
        <v>819</v>
      </c>
      <c r="C30" s="6" t="s">
        <v>2017</v>
      </c>
      <c r="D30" s="6" t="s">
        <v>2016</v>
      </c>
    </row>
    <row r="31" spans="1:4" x14ac:dyDescent="0.25">
      <c r="A31" s="35">
        <v>46321</v>
      </c>
      <c r="B31" s="6" t="s">
        <v>22</v>
      </c>
      <c r="C31" s="6" t="s">
        <v>2018</v>
      </c>
      <c r="D31" s="6" t="s">
        <v>2019</v>
      </c>
    </row>
    <row r="32" spans="1:4" x14ac:dyDescent="0.25">
      <c r="A32" s="35">
        <v>46321</v>
      </c>
      <c r="B32" s="6" t="s">
        <v>22</v>
      </c>
      <c r="C32" s="6" t="s">
        <v>2020</v>
      </c>
      <c r="D32" s="6" t="s">
        <v>2021</v>
      </c>
    </row>
    <row r="33" spans="1:4" x14ac:dyDescent="0.25">
      <c r="A33" s="35">
        <v>46321</v>
      </c>
      <c r="B33" s="6" t="s">
        <v>2022</v>
      </c>
      <c r="C33" s="6" t="s">
        <v>2023</v>
      </c>
      <c r="D33" s="6" t="s">
        <v>2024</v>
      </c>
    </row>
    <row r="34" spans="1:4" x14ac:dyDescent="0.25">
      <c r="A34" s="35">
        <v>46321</v>
      </c>
      <c r="B34" s="6" t="s">
        <v>2025</v>
      </c>
      <c r="C34" s="6" t="s">
        <v>2026</v>
      </c>
      <c r="D34" s="6" t="s">
        <v>2024</v>
      </c>
    </row>
    <row r="35" spans="1:4" x14ac:dyDescent="0.25">
      <c r="A35" s="35">
        <v>46321</v>
      </c>
      <c r="B35" s="6" t="s">
        <v>745</v>
      </c>
      <c r="C35" s="6" t="s">
        <v>2027</v>
      </c>
      <c r="D35" s="6" t="s">
        <v>2028</v>
      </c>
    </row>
    <row r="36" spans="1:4" x14ac:dyDescent="0.25">
      <c r="A36" s="35">
        <v>46321</v>
      </c>
      <c r="B36" s="6" t="s">
        <v>836</v>
      </c>
      <c r="C36" s="6" t="s">
        <v>2029</v>
      </c>
      <c r="D36" s="6" t="s">
        <v>2024</v>
      </c>
    </row>
    <row r="37" spans="1:4" x14ac:dyDescent="0.25">
      <c r="A37" s="35">
        <v>46321</v>
      </c>
      <c r="B37" s="6" t="s">
        <v>2030</v>
      </c>
      <c r="C37" s="6" t="s">
        <v>2031</v>
      </c>
      <c r="D37" s="6" t="s">
        <v>2032</v>
      </c>
    </row>
    <row r="38" spans="1:4" x14ac:dyDescent="0.25">
      <c r="A38" s="35">
        <v>46321</v>
      </c>
      <c r="B38" s="6" t="s">
        <v>2033</v>
      </c>
      <c r="C38" s="6" t="s">
        <v>2034</v>
      </c>
      <c r="D38" s="6" t="s">
        <v>2035</v>
      </c>
    </row>
    <row r="39" spans="1:4" x14ac:dyDescent="0.25">
      <c r="A39" s="35">
        <v>46321</v>
      </c>
      <c r="B39" s="6" t="s">
        <v>2036</v>
      </c>
      <c r="C39" s="6" t="s">
        <v>2037</v>
      </c>
      <c r="D39" s="6" t="s">
        <v>2038</v>
      </c>
    </row>
    <row r="40" spans="1:4" x14ac:dyDescent="0.25">
      <c r="A40" s="35">
        <v>46321</v>
      </c>
      <c r="B40" s="6" t="s">
        <v>2039</v>
      </c>
      <c r="C40" s="6" t="s">
        <v>2040</v>
      </c>
      <c r="D40" s="6" t="s">
        <v>1974</v>
      </c>
    </row>
    <row r="41" spans="1:4" x14ac:dyDescent="0.25">
      <c r="A41" s="35">
        <v>46321</v>
      </c>
      <c r="B41" s="6" t="s">
        <v>2041</v>
      </c>
      <c r="C41" s="6" t="s">
        <v>2042</v>
      </c>
      <c r="D41" s="6" t="s">
        <v>2043</v>
      </c>
    </row>
    <row r="42" spans="1:4" x14ac:dyDescent="0.25">
      <c r="A42" s="35">
        <v>46321</v>
      </c>
      <c r="B42" s="6" t="s">
        <v>2044</v>
      </c>
      <c r="C42" s="6" t="s">
        <v>2045</v>
      </c>
      <c r="D42" s="6" t="s">
        <v>2046</v>
      </c>
    </row>
    <row r="43" spans="1:4" x14ac:dyDescent="0.25">
      <c r="A43" s="35">
        <v>46321</v>
      </c>
      <c r="B43" s="6" t="s">
        <v>101</v>
      </c>
      <c r="C43" s="6" t="s">
        <v>2047</v>
      </c>
      <c r="D43" s="6" t="s">
        <v>2048</v>
      </c>
    </row>
    <row r="44" spans="1:4" x14ac:dyDescent="0.25">
      <c r="A44" s="35">
        <v>46321</v>
      </c>
      <c r="B44" s="6" t="s">
        <v>2049</v>
      </c>
      <c r="C44" s="6" t="s">
        <v>2050</v>
      </c>
      <c r="D44" s="6" t="s">
        <v>1982</v>
      </c>
    </row>
    <row r="45" spans="1:4" x14ac:dyDescent="0.25">
      <c r="A45" s="35">
        <v>46321</v>
      </c>
      <c r="B45" s="6" t="s">
        <v>2051</v>
      </c>
      <c r="C45" s="6" t="s">
        <v>2052</v>
      </c>
      <c r="D45" s="6" t="s">
        <v>2053</v>
      </c>
    </row>
    <row r="46" spans="1:4" x14ac:dyDescent="0.25">
      <c r="A46" s="35">
        <v>46321</v>
      </c>
      <c r="B46" s="6" t="s">
        <v>22</v>
      </c>
      <c r="C46" s="6" t="s">
        <v>2054</v>
      </c>
      <c r="D46" s="6" t="s">
        <v>40</v>
      </c>
    </row>
    <row r="47" spans="1:4" x14ac:dyDescent="0.25">
      <c r="A47" s="35">
        <v>46321</v>
      </c>
      <c r="B47" s="6" t="s">
        <v>1128</v>
      </c>
      <c r="C47" s="6" t="s">
        <v>2055</v>
      </c>
      <c r="D47" s="6" t="s">
        <v>2053</v>
      </c>
    </row>
    <row r="48" spans="1:4" x14ac:dyDescent="0.25">
      <c r="A48" s="35">
        <v>46321</v>
      </c>
      <c r="B48" s="6" t="s">
        <v>2056</v>
      </c>
      <c r="C48" s="6" t="s">
        <v>2057</v>
      </c>
      <c r="D48" s="6" t="s">
        <v>2058</v>
      </c>
    </row>
    <row r="49" spans="1:4" x14ac:dyDescent="0.25">
      <c r="A49" s="35">
        <v>46321</v>
      </c>
      <c r="B49" s="6" t="s">
        <v>2059</v>
      </c>
      <c r="C49" s="6" t="s">
        <v>2060</v>
      </c>
      <c r="D49" s="6" t="s">
        <v>2061</v>
      </c>
    </row>
    <row r="50" spans="1:4" x14ac:dyDescent="0.25">
      <c r="A50" s="35">
        <v>46321</v>
      </c>
      <c r="B50" s="6" t="s">
        <v>2062</v>
      </c>
      <c r="C50" s="6" t="s">
        <v>2063</v>
      </c>
      <c r="D50" s="6" t="s">
        <v>2064</v>
      </c>
    </row>
    <row r="51" spans="1:4" x14ac:dyDescent="0.25">
      <c r="A51" s="35">
        <v>46321</v>
      </c>
      <c r="B51" s="6" t="s">
        <v>2065</v>
      </c>
      <c r="C51" s="6" t="s">
        <v>2066</v>
      </c>
      <c r="D51" s="6" t="s">
        <v>2067</v>
      </c>
    </row>
    <row r="52" spans="1:4" x14ac:dyDescent="0.25">
      <c r="A52" s="35">
        <v>46321</v>
      </c>
      <c r="B52" s="6" t="s">
        <v>61</v>
      </c>
      <c r="C52" s="6" t="s">
        <v>2068</v>
      </c>
      <c r="D52" s="6" t="s">
        <v>2069</v>
      </c>
    </row>
    <row r="53" spans="1:4" x14ac:dyDescent="0.25">
      <c r="A53" s="35">
        <v>46321</v>
      </c>
      <c r="B53" s="6" t="s">
        <v>2070</v>
      </c>
      <c r="C53" s="6" t="s">
        <v>2071</v>
      </c>
      <c r="D53" s="6" t="s">
        <v>2072</v>
      </c>
    </row>
    <row r="54" spans="1:4" x14ac:dyDescent="0.25">
      <c r="A54" s="35">
        <v>46321</v>
      </c>
      <c r="B54" s="6" t="s">
        <v>2073</v>
      </c>
      <c r="C54" s="6" t="s">
        <v>2074</v>
      </c>
      <c r="D54" s="6" t="s">
        <v>2075</v>
      </c>
    </row>
    <row r="55" spans="1:4" x14ac:dyDescent="0.25">
      <c r="A55" s="35">
        <v>46321</v>
      </c>
      <c r="B55" s="6" t="s">
        <v>1326</v>
      </c>
      <c r="C55" s="6" t="s">
        <v>2076</v>
      </c>
      <c r="D55" s="6" t="s">
        <v>2077</v>
      </c>
    </row>
    <row r="56" spans="1:4" x14ac:dyDescent="0.25">
      <c r="A56" s="35">
        <v>46321</v>
      </c>
      <c r="B56" s="6" t="s">
        <v>1331</v>
      </c>
      <c r="C56" s="6" t="s">
        <v>2078</v>
      </c>
      <c r="D56" s="6" t="s">
        <v>2079</v>
      </c>
    </row>
    <row r="57" spans="1:4" x14ac:dyDescent="0.25">
      <c r="A57" s="35">
        <v>46321</v>
      </c>
      <c r="B57" s="6" t="s">
        <v>2080</v>
      </c>
      <c r="C57" s="6" t="s">
        <v>2081</v>
      </c>
      <c r="D57" s="6" t="s">
        <v>2082</v>
      </c>
    </row>
    <row r="58" spans="1:4" x14ac:dyDescent="0.25">
      <c r="A58" s="35">
        <v>46321</v>
      </c>
      <c r="B58" s="6" t="s">
        <v>2083</v>
      </c>
      <c r="C58" s="6" t="s">
        <v>2084</v>
      </c>
      <c r="D58" s="6" t="s">
        <v>2085</v>
      </c>
    </row>
    <row r="59" spans="1:4" x14ac:dyDescent="0.25">
      <c r="A59" s="35">
        <v>46321</v>
      </c>
      <c r="B59" s="6" t="s">
        <v>2086</v>
      </c>
      <c r="C59" s="6" t="s">
        <v>2087</v>
      </c>
      <c r="D59" s="6" t="s">
        <v>2088</v>
      </c>
    </row>
    <row r="60" spans="1:4" x14ac:dyDescent="0.25">
      <c r="A60" s="35">
        <v>46321</v>
      </c>
      <c r="B60" s="6" t="s">
        <v>2089</v>
      </c>
      <c r="C60" s="6" t="s">
        <v>2090</v>
      </c>
      <c r="D60" s="6" t="s">
        <v>2091</v>
      </c>
    </row>
    <row r="61" spans="1:4" x14ac:dyDescent="0.25">
      <c r="A61" s="35">
        <v>46321</v>
      </c>
      <c r="B61" s="6" t="s">
        <v>2092</v>
      </c>
      <c r="C61" s="6" t="s">
        <v>2093</v>
      </c>
      <c r="D61" s="6" t="s">
        <v>2094</v>
      </c>
    </row>
    <row r="62" spans="1:4" x14ac:dyDescent="0.25">
      <c r="A62" s="35">
        <v>46321</v>
      </c>
      <c r="B62" s="6" t="s">
        <v>2095</v>
      </c>
      <c r="C62" s="6" t="s">
        <v>2096</v>
      </c>
      <c r="D62" s="6" t="s">
        <v>2097</v>
      </c>
    </row>
    <row r="63" spans="1:4" x14ac:dyDescent="0.25">
      <c r="A63" s="35">
        <v>46321</v>
      </c>
      <c r="B63" s="6" t="s">
        <v>2098</v>
      </c>
      <c r="C63" s="6" t="s">
        <v>2099</v>
      </c>
      <c r="D63" s="6" t="s">
        <v>2100</v>
      </c>
    </row>
    <row r="64" spans="1:4" x14ac:dyDescent="0.25">
      <c r="A64" s="35">
        <v>46321</v>
      </c>
      <c r="B64" s="6" t="s">
        <v>2101</v>
      </c>
      <c r="C64" s="6" t="s">
        <v>2102</v>
      </c>
      <c r="D64" s="6" t="s">
        <v>2100</v>
      </c>
    </row>
    <row r="65" spans="1:4" x14ac:dyDescent="0.25">
      <c r="A65" s="35">
        <v>46321</v>
      </c>
      <c r="B65" s="6" t="s">
        <v>2103</v>
      </c>
      <c r="C65" s="6" t="s">
        <v>2104</v>
      </c>
      <c r="D65" s="6" t="s">
        <v>2105</v>
      </c>
    </row>
    <row r="66" spans="1:4" x14ac:dyDescent="0.25">
      <c r="A66" s="35">
        <v>46321</v>
      </c>
      <c r="B66" s="6" t="s">
        <v>2106</v>
      </c>
      <c r="C66" s="6" t="s">
        <v>2107</v>
      </c>
      <c r="D66" s="6" t="s">
        <v>2108</v>
      </c>
    </row>
    <row r="67" spans="1:4" x14ac:dyDescent="0.25">
      <c r="A67" s="35">
        <v>46322</v>
      </c>
      <c r="B67" s="6" t="s">
        <v>1339</v>
      </c>
      <c r="C67" s="6" t="s">
        <v>2109</v>
      </c>
      <c r="D67" s="6" t="s">
        <v>2110</v>
      </c>
    </row>
    <row r="68" spans="1:4" x14ac:dyDescent="0.25">
      <c r="A68" s="35">
        <v>46322</v>
      </c>
      <c r="B68" s="6" t="s">
        <v>1339</v>
      </c>
      <c r="C68" s="6" t="s">
        <v>2111</v>
      </c>
      <c r="D68" s="6" t="s">
        <v>2112</v>
      </c>
    </row>
    <row r="69" spans="1:4" x14ac:dyDescent="0.25">
      <c r="A69" s="35">
        <v>46322</v>
      </c>
      <c r="B69" s="6" t="s">
        <v>2113</v>
      </c>
      <c r="C69" s="6" t="s">
        <v>2114</v>
      </c>
      <c r="D69" s="6" t="s">
        <v>2115</v>
      </c>
    </row>
    <row r="70" spans="1:4" x14ac:dyDescent="0.25">
      <c r="A70" s="35">
        <v>46322</v>
      </c>
      <c r="B70" s="6" t="s">
        <v>712</v>
      </c>
      <c r="C70" s="6" t="s">
        <v>2116</v>
      </c>
      <c r="D70" s="6" t="s">
        <v>2117</v>
      </c>
    </row>
    <row r="71" spans="1:4" x14ac:dyDescent="0.25">
      <c r="A71" s="35">
        <v>46322</v>
      </c>
      <c r="B71" s="6" t="s">
        <v>712</v>
      </c>
      <c r="C71" s="6" t="s">
        <v>2118</v>
      </c>
      <c r="D71" s="6" t="s">
        <v>2119</v>
      </c>
    </row>
  </sheetData>
  <mergeCells count="2">
    <mergeCell ref="A1:D1"/>
    <mergeCell ref="A2:D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30" customWidth="1"/>
    <col min="2" max="2" width="90" customWidth="1"/>
  </cols>
  <sheetData>
    <row r="1" ht="22" customHeight="1" spans="1:2" x14ac:dyDescent="0.25">
      <c r="A1" s="1" t="s">
        <v>2120</v>
      </c>
      <c r="B1" s="1"/>
    </row>
    <row r="2" spans="1:2" x14ac:dyDescent="0.25">
      <c r="A2" s="2" t="s">
        <v>2121</v>
      </c>
      <c r="B2" s="2"/>
    </row>
    <row r="4" spans="1:2" x14ac:dyDescent="0.25">
      <c r="A4" s="36" t="s">
        <v>2122</v>
      </c>
      <c r="B4" s="36" t="s">
        <v>27</v>
      </c>
    </row>
    <row r="5" spans="1:2" x14ac:dyDescent="0.25">
      <c r="A5" s="37" t="s">
        <v>2123</v>
      </c>
      <c r="B5" s="37" t="s">
        <v>2124</v>
      </c>
    </row>
    <row r="6" spans="1:2" x14ac:dyDescent="0.25">
      <c r="A6" s="37" t="s">
        <v>1881</v>
      </c>
      <c r="B6" s="37" t="s">
        <v>2125</v>
      </c>
    </row>
    <row r="7" spans="1:2" x14ac:dyDescent="0.25">
      <c r="A7" s="37" t="s">
        <v>2126</v>
      </c>
      <c r="B7" s="37" t="s">
        <v>2127</v>
      </c>
    </row>
    <row r="8" spans="1:2" x14ac:dyDescent="0.25">
      <c r="A8" s="37" t="s">
        <v>2128</v>
      </c>
      <c r="B8" s="37" t="s">
        <v>2129</v>
      </c>
    </row>
    <row r="9" spans="1:2" x14ac:dyDescent="0.25">
      <c r="A9" s="37" t="s">
        <v>2130</v>
      </c>
      <c r="B9" s="37" t="s">
        <v>2131</v>
      </c>
    </row>
    <row r="10" spans="1:2" x14ac:dyDescent="0.25">
      <c r="A10" s="37" t="s">
        <v>2132</v>
      </c>
      <c r="B10" s="37" t="s">
        <v>2133</v>
      </c>
    </row>
    <row r="11" spans="1:2" x14ac:dyDescent="0.25">
      <c r="A11" s="37" t="s">
        <v>2134</v>
      </c>
      <c r="B11" s="37" t="s">
        <v>2135</v>
      </c>
    </row>
    <row r="12" spans="1:2" x14ac:dyDescent="0.25">
      <c r="A12" s="37" t="s">
        <v>2136</v>
      </c>
      <c r="B12" s="37" t="s">
        <v>2137</v>
      </c>
    </row>
    <row r="13" spans="1:2" x14ac:dyDescent="0.25">
      <c r="A13" s="37" t="s">
        <v>27</v>
      </c>
      <c r="B13" s="37" t="s">
        <v>27</v>
      </c>
    </row>
    <row r="14" spans="1:2" x14ac:dyDescent="0.25">
      <c r="A14" s="36" t="s">
        <v>2138</v>
      </c>
      <c r="B14" s="36" t="s">
        <v>27</v>
      </c>
    </row>
    <row r="15" spans="1:2" x14ac:dyDescent="0.25">
      <c r="A15" s="37" t="s">
        <v>2139</v>
      </c>
      <c r="B15" s="37" t="s">
        <v>2140</v>
      </c>
    </row>
    <row r="16" spans="1:2" x14ac:dyDescent="0.25">
      <c r="A16" s="37" t="s">
        <v>2141</v>
      </c>
      <c r="B16" s="37" t="s">
        <v>2142</v>
      </c>
    </row>
    <row r="17" spans="1:2" x14ac:dyDescent="0.25">
      <c r="A17" s="37" t="s">
        <v>2143</v>
      </c>
      <c r="B17" s="37" t="s">
        <v>2144</v>
      </c>
    </row>
    <row r="18" spans="1:2" x14ac:dyDescent="0.25">
      <c r="A18" s="37" t="s">
        <v>517</v>
      </c>
      <c r="B18" s="37" t="s">
        <v>2145</v>
      </c>
    </row>
    <row r="19" spans="1:2" x14ac:dyDescent="0.25">
      <c r="A19" s="37" t="s">
        <v>8</v>
      </c>
      <c r="B19" s="37" t="s">
        <v>2146</v>
      </c>
    </row>
    <row r="20" spans="1:2" x14ac:dyDescent="0.25">
      <c r="A20" s="37" t="s">
        <v>27</v>
      </c>
      <c r="B20" s="37" t="s">
        <v>27</v>
      </c>
    </row>
    <row r="21" spans="1:2" x14ac:dyDescent="0.25">
      <c r="A21" s="36" t="s">
        <v>528</v>
      </c>
      <c r="B21" s="36" t="s">
        <v>27</v>
      </c>
    </row>
    <row r="22" spans="1:2" x14ac:dyDescent="0.25">
      <c r="A22" s="37" t="s">
        <v>1886</v>
      </c>
      <c r="B22" s="37" t="s">
        <v>2147</v>
      </c>
    </row>
    <row r="23" spans="1:2" x14ac:dyDescent="0.25">
      <c r="A23" s="37" t="s">
        <v>541</v>
      </c>
      <c r="B23" s="37" t="s">
        <v>2148</v>
      </c>
    </row>
    <row r="24" spans="1:2" x14ac:dyDescent="0.25">
      <c r="A24" s="37" t="s">
        <v>550</v>
      </c>
      <c r="B24" s="37" t="s">
        <v>2149</v>
      </c>
    </row>
    <row r="25" spans="1:2" x14ac:dyDescent="0.25">
      <c r="A25" s="37" t="s">
        <v>1887</v>
      </c>
      <c r="B25" s="37" t="s">
        <v>2150</v>
      </c>
    </row>
    <row r="26" spans="1:2" x14ac:dyDescent="0.25">
      <c r="A26" s="37" t="s">
        <v>1888</v>
      </c>
      <c r="B26" s="37" t="s">
        <v>2151</v>
      </c>
    </row>
    <row r="27" spans="1:2" x14ac:dyDescent="0.25">
      <c r="A27" s="37" t="s">
        <v>1889</v>
      </c>
      <c r="B27" s="37" t="s">
        <v>2152</v>
      </c>
    </row>
    <row r="28" spans="1:2" x14ac:dyDescent="0.25">
      <c r="A28" s="37" t="s">
        <v>1890</v>
      </c>
      <c r="B28" s="37" t="s">
        <v>2153</v>
      </c>
    </row>
    <row r="29" spans="1:2" x14ac:dyDescent="0.25">
      <c r="A29" s="37" t="s">
        <v>27</v>
      </c>
      <c r="B29" s="37" t="s">
        <v>27</v>
      </c>
    </row>
    <row r="30" spans="1:2" x14ac:dyDescent="0.25">
      <c r="A30" s="36" t="s">
        <v>2154</v>
      </c>
      <c r="B30" s="36" t="s">
        <v>27</v>
      </c>
    </row>
    <row r="31" spans="1:2" x14ac:dyDescent="0.25">
      <c r="A31" s="37" t="s">
        <v>2155</v>
      </c>
      <c r="B31" s="37" t="s">
        <v>1933</v>
      </c>
    </row>
    <row r="32" spans="1:2" x14ac:dyDescent="0.25">
      <c r="A32" s="37" t="s">
        <v>2156</v>
      </c>
      <c r="B32" s="37" t="s">
        <v>1935</v>
      </c>
    </row>
    <row r="33" spans="1:2" x14ac:dyDescent="0.25">
      <c r="A33" s="37" t="s">
        <v>2157</v>
      </c>
      <c r="B33" s="37" t="s">
        <v>1937</v>
      </c>
    </row>
    <row r="34" spans="1:2" x14ac:dyDescent="0.25">
      <c r="A34" s="37" t="s">
        <v>2158</v>
      </c>
      <c r="B34" s="37" t="s">
        <v>1939</v>
      </c>
    </row>
    <row r="35" spans="1:2" x14ac:dyDescent="0.25">
      <c r="A35" s="37" t="s">
        <v>2159</v>
      </c>
      <c r="B35" s="37" t="s">
        <v>2160</v>
      </c>
    </row>
    <row r="36" spans="1:2" x14ac:dyDescent="0.25">
      <c r="A36" s="37" t="s">
        <v>2161</v>
      </c>
      <c r="B36" s="37" t="s">
        <v>1943</v>
      </c>
    </row>
    <row r="37" spans="1:2" x14ac:dyDescent="0.25">
      <c r="A37" s="37" t="s">
        <v>2162</v>
      </c>
      <c r="B37" s="37" t="s">
        <v>1945</v>
      </c>
    </row>
    <row r="38" spans="1:2" x14ac:dyDescent="0.25">
      <c r="A38" s="37" t="s">
        <v>2163</v>
      </c>
      <c r="B38" s="37" t="s">
        <v>1947</v>
      </c>
    </row>
    <row r="39" spans="1:2" x14ac:dyDescent="0.25">
      <c r="A39" s="37" t="s">
        <v>2164</v>
      </c>
      <c r="B39" s="37" t="s">
        <v>1949</v>
      </c>
    </row>
    <row r="40" spans="1:2" x14ac:dyDescent="0.25">
      <c r="A40" s="37" t="s">
        <v>2165</v>
      </c>
      <c r="B40" s="37" t="s">
        <v>1951</v>
      </c>
    </row>
    <row r="41" spans="1:2" x14ac:dyDescent="0.25">
      <c r="A41" s="37" t="s">
        <v>2166</v>
      </c>
      <c r="B41" s="37" t="s">
        <v>1953</v>
      </c>
    </row>
  </sheetData>
  <mergeCells count="2">
    <mergeCell ref="A1:B1"/>
    <mergeCell ref="A2:B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Panduan IDDS Developer</vt:lpstr>
      <vt:lpstr>Usulan HE</vt:lpstr>
      <vt:lpstr>Penyesuaian IDDS Tenant</vt:lpstr>
      <vt:lpstr>Penyesuaian IDDS Platform</vt:lpstr>
      <vt:lpstr>Penyesuaian IDDS Onboarding</vt:lpstr>
      <vt:lpstr>Ringkasan</vt:lpstr>
      <vt:lpstr>Perkiraan Nilai HE</vt:lpstr>
      <vt:lpstr>Riwayat Perubahan</vt:lpstr>
      <vt:lpstr>Keterangan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E-PPAT Backlog Peruri</dc:creator>
  <dc:title/>
  <dc:subject/>
  <dc:description/>
  <cp:keywords/>
  <cp:category/>
  <cp:lastModifiedBy>Unknown</cp:lastModifiedBy>
  <dcterms:created xsi:type="dcterms:W3CDTF">2026-10-27T06:08:09Z</dcterms:created>
  <dcterms:modified xsi:type="dcterms:W3CDTF">2026-10-27T06:08:09Z</dcterms:modified>
</cp:coreProperties>
</file>